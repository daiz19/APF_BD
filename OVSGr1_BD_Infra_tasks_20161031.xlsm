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kawakubo\Desktop\OVS BD latest\"/>
    </mc:Choice>
  </mc:AlternateContent>
  <bookViews>
    <workbookView xWindow="0" yWindow="0" windowWidth="5640" windowHeight="8460" activeTab="1"/>
  </bookViews>
  <sheets>
    <sheet name="WBS" sheetId="3" r:id="rId1"/>
    <sheet name="Tasklist" sheetId="1" r:id="rId2"/>
    <sheet name="Schedule" sheetId="2" r:id="rId3"/>
  </sheets>
  <definedNames>
    <definedName name="_xlnm.Print_Area" localSheetId="1">Tasklist!$A$1:$K$52</definedName>
    <definedName name="Status">Tasklist!$J$1:$J$3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3" i="1" l="1"/>
  <c r="B24" i="1"/>
  <c r="B25" i="1"/>
  <c r="B27" i="1" s="1"/>
  <c r="B29" i="1" s="1"/>
  <c r="B31" i="1" s="1"/>
  <c r="B33" i="1" s="1"/>
  <c r="B35" i="1" s="1"/>
  <c r="B37" i="1" s="1"/>
  <c r="B39" i="1" s="1"/>
  <c r="B41" i="1" s="1"/>
  <c r="B43" i="1" s="1"/>
  <c r="B45" i="1" s="1"/>
  <c r="B47" i="1" s="1"/>
  <c r="B49" i="1" s="1"/>
  <c r="B51" i="1" s="1"/>
  <c r="B26" i="1"/>
  <c r="B28" i="1" s="1"/>
  <c r="B30" i="1" s="1"/>
  <c r="B32" i="1" s="1"/>
  <c r="B34" i="1" s="1"/>
  <c r="B36" i="1" s="1"/>
  <c r="B38" i="1" s="1"/>
  <c r="B40" i="1" s="1"/>
  <c r="B42" i="1" s="1"/>
  <c r="B44" i="1" s="1"/>
  <c r="B46" i="1" s="1"/>
  <c r="B48" i="1" s="1"/>
  <c r="B50" i="1" s="1"/>
  <c r="B52" i="1" s="1"/>
  <c r="O2" i="3" l="1"/>
  <c r="B6" i="1" l="1"/>
  <c r="B7" i="1" s="1"/>
  <c r="B8" i="1" s="1"/>
  <c r="B9" i="1" l="1"/>
  <c r="B10" i="1" s="1"/>
  <c r="B11" i="1" s="1"/>
  <c r="B12" i="1" s="1"/>
  <c r="B13" i="1" s="1"/>
  <c r="B14" i="1" s="1"/>
  <c r="B15" i="1" s="1"/>
  <c r="B16" i="1" s="1"/>
  <c r="B17" i="1" s="1"/>
  <c r="B18" i="1" s="1"/>
  <c r="B19" i="1" s="1"/>
  <c r="AC13" i="2"/>
  <c r="AC12" i="2"/>
  <c r="AC11" i="2"/>
  <c r="AC10" i="2"/>
  <c r="B20" i="1" l="1"/>
  <c r="B22" i="1"/>
  <c r="B21" i="1" s="1"/>
  <c r="Q5" i="3"/>
  <c r="R4" i="3" s="1"/>
  <c r="R5" i="3" s="1"/>
  <c r="S4" i="3" s="1"/>
  <c r="S5" i="3" s="1"/>
  <c r="T4" i="3" s="1"/>
  <c r="T5" i="3" s="1"/>
  <c r="U4" i="3" s="1"/>
  <c r="U5" i="3" s="1"/>
  <c r="V4" i="3" s="1"/>
  <c r="V5" i="3" s="1"/>
  <c r="W4" i="3" s="1"/>
  <c r="W5" i="3" s="1"/>
  <c r="X4" i="3" s="1"/>
  <c r="X5" i="3" s="1"/>
  <c r="Y4" i="3" s="1"/>
  <c r="Y5" i="3" s="1"/>
  <c r="Z4" i="3" s="1"/>
  <c r="Z5" i="3" s="1"/>
  <c r="AA4" i="3" s="1"/>
  <c r="AA5" i="3" s="1"/>
  <c r="AB4" i="3" s="1"/>
  <c r="AB5" i="3" s="1"/>
  <c r="AC4" i="3" s="1"/>
  <c r="AC5" i="3" s="1"/>
  <c r="AD4" i="3" s="1"/>
  <c r="AD5" i="3" s="1"/>
  <c r="AE4" i="3" s="1"/>
  <c r="AE5" i="3" s="1"/>
  <c r="AF4" i="3" s="1"/>
  <c r="AF5" i="3" s="1"/>
  <c r="AG4" i="3" s="1"/>
  <c r="AG5" i="3" s="1"/>
  <c r="AH4" i="3" s="1"/>
  <c r="AH5" i="3" s="1"/>
  <c r="AI4" i="3" s="1"/>
  <c r="AI5" i="3" s="1"/>
  <c r="AJ4" i="3" s="1"/>
  <c r="AJ5" i="3" s="1"/>
  <c r="AK4" i="3" s="1"/>
  <c r="AK5" i="3" s="1"/>
  <c r="AL4" i="3" s="1"/>
  <c r="AL5" i="3" s="1"/>
  <c r="AM4" i="3" s="1"/>
  <c r="AM5" i="3" s="1"/>
  <c r="AN4" i="3" s="1"/>
  <c r="AN5" i="3" s="1"/>
  <c r="AO4" i="3" s="1"/>
  <c r="AO5" i="3" s="1"/>
  <c r="AP4" i="3" s="1"/>
  <c r="AP5" i="3" s="1"/>
  <c r="AQ4" i="3" s="1"/>
  <c r="AQ5" i="3" s="1"/>
  <c r="AR4" i="3" s="1"/>
  <c r="AR5" i="3" s="1"/>
  <c r="AS4" i="3" s="1"/>
  <c r="AS5" i="3" s="1"/>
  <c r="AE11" i="2"/>
  <c r="AE12" i="2"/>
  <c r="AE13" i="2"/>
  <c r="AE10" i="2"/>
  <c r="AA24" i="2"/>
  <c r="Z24" i="2"/>
  <c r="Y24" i="2"/>
  <c r="X24" i="2"/>
  <c r="W24" i="2"/>
  <c r="V24" i="2"/>
  <c r="U24" i="2"/>
  <c r="T24" i="2"/>
  <c r="S24" i="2"/>
  <c r="R24" i="2"/>
  <c r="Q24" i="2"/>
  <c r="P24" i="2"/>
  <c r="O24" i="2"/>
  <c r="N24" i="2"/>
  <c r="M24" i="2"/>
  <c r="L24" i="2"/>
  <c r="K24" i="2"/>
  <c r="J24" i="2"/>
  <c r="I24" i="2"/>
  <c r="H24" i="2"/>
  <c r="G24" i="2"/>
  <c r="F24" i="2"/>
  <c r="E24" i="2"/>
  <c r="AA23" i="2"/>
  <c r="AA25" i="2" s="1"/>
  <c r="Z23" i="2"/>
  <c r="Y23" i="2"/>
  <c r="X23" i="2"/>
  <c r="W23" i="2"/>
  <c r="V23" i="2"/>
  <c r="U23" i="2"/>
  <c r="T23" i="2"/>
  <c r="S23" i="2"/>
  <c r="R23" i="2"/>
  <c r="Q23" i="2"/>
  <c r="P23" i="2"/>
  <c r="O23" i="2"/>
  <c r="N23" i="2"/>
  <c r="N25" i="2" s="1"/>
  <c r="M23" i="2"/>
  <c r="L23" i="2"/>
  <c r="K23" i="2"/>
  <c r="J23" i="2"/>
  <c r="J25" i="2" s="1"/>
  <c r="I23" i="2"/>
  <c r="H23" i="2"/>
  <c r="G23" i="2"/>
  <c r="F23" i="2"/>
  <c r="E23" i="2"/>
  <c r="E25" i="2" s="1"/>
  <c r="AT4" i="3" l="1"/>
  <c r="AT5" i="3" s="1"/>
  <c r="Z25" i="2"/>
  <c r="V25" i="2"/>
  <c r="R25" i="2"/>
  <c r="F25" i="2"/>
  <c r="H25" i="2"/>
  <c r="L25" i="2"/>
  <c r="P25" i="2"/>
  <c r="T25" i="2"/>
  <c r="X25" i="2"/>
  <c r="I25" i="2"/>
  <c r="M25" i="2"/>
  <c r="Q25" i="2"/>
  <c r="U25" i="2"/>
  <c r="Y25" i="2"/>
  <c r="G25" i="2"/>
  <c r="K25" i="2"/>
  <c r="O25" i="2"/>
  <c r="S25" i="2"/>
  <c r="W25" i="2"/>
  <c r="AU4" i="3" l="1"/>
  <c r="AU5" i="3" l="1"/>
  <c r="AV4" i="3" s="1"/>
  <c r="AV5" i="3" l="1"/>
  <c r="AW4" i="3" s="1"/>
  <c r="AW5" i="3" l="1"/>
  <c r="AX4" i="3" s="1"/>
  <c r="AX5" i="3" l="1"/>
  <c r="AY4" i="3" s="1"/>
  <c r="AY5" i="3" s="1"/>
  <c r="AZ4" i="3" s="1"/>
  <c r="AZ5" i="3" s="1"/>
  <c r="BA4" i="3" s="1"/>
  <c r="BA5" i="3" s="1"/>
  <c r="BB4" i="3" s="1"/>
  <c r="BB5" i="3" s="1"/>
  <c r="BC4" i="3" s="1"/>
  <c r="BC5" i="3" s="1"/>
  <c r="BD4" i="3" s="1"/>
  <c r="BD5" i="3" s="1"/>
  <c r="BE4" i="3" s="1"/>
  <c r="BE5" i="3" s="1"/>
  <c r="BF4" i="3" s="1"/>
  <c r="BF5" i="3" s="1"/>
  <c r="BG4" i="3" s="1"/>
  <c r="BG5" i="3" s="1"/>
  <c r="BH4" i="3" s="1"/>
  <c r="BH5" i="3" s="1"/>
  <c r="BI4" i="3" s="1"/>
  <c r="BI5" i="3" s="1"/>
  <c r="BJ4" i="3" s="1"/>
  <c r="BJ5" i="3" s="1"/>
  <c r="BK4" i="3" s="1"/>
  <c r="BK5" i="3" s="1"/>
  <c r="BL4" i="3" s="1"/>
  <c r="BL5" i="3" s="1"/>
  <c r="BM4" i="3" s="1"/>
  <c r="BM5" i="3" s="1"/>
  <c r="BN4" i="3" s="1"/>
  <c r="BN5" i="3" s="1"/>
  <c r="BO4" i="3" s="1"/>
  <c r="BO5" i="3" s="1"/>
  <c r="BP4" i="3" s="1"/>
  <c r="BP5" i="3" s="1"/>
</calcChain>
</file>

<file path=xl/sharedStrings.xml><?xml version="1.0" encoding="utf-8"?>
<sst xmlns="http://schemas.openxmlformats.org/spreadsheetml/2006/main" count="587" uniqueCount="318">
  <si>
    <t>OVS Gr1 - Basic Design (Infra)</t>
    <phoneticPr fontId="1"/>
  </si>
  <si>
    <t>Items to clarify</t>
    <phoneticPr fontId="1"/>
  </si>
  <si>
    <t>#</t>
    <phoneticPr fontId="1"/>
  </si>
  <si>
    <t>Section</t>
    <phoneticPr fontId="1"/>
  </si>
  <si>
    <t>Title</t>
    <phoneticPr fontId="1"/>
  </si>
  <si>
    <t>Description</t>
    <phoneticPr fontId="1"/>
  </si>
  <si>
    <t>PIC</t>
    <phoneticPr fontId="1"/>
  </si>
  <si>
    <t>Status</t>
    <phoneticPr fontId="1"/>
  </si>
  <si>
    <t>Task list</t>
    <phoneticPr fontId="1"/>
  </si>
  <si>
    <t>Design</t>
    <phoneticPr fontId="1"/>
  </si>
  <si>
    <t>Item</t>
    <phoneticPr fontId="1"/>
  </si>
  <si>
    <t>Overview</t>
    <phoneticPr fontId="1"/>
  </si>
  <si>
    <t>NFR</t>
    <phoneticPr fontId="1"/>
  </si>
  <si>
    <t>Operation</t>
    <phoneticPr fontId="1"/>
  </si>
  <si>
    <t>Procurement</t>
    <phoneticPr fontId="1"/>
  </si>
  <si>
    <t>Function</t>
    <phoneticPr fontId="1"/>
  </si>
  <si>
    <t>Infra setup</t>
    <phoneticPr fontId="1"/>
  </si>
  <si>
    <t>Infra setup</t>
    <phoneticPr fontId="1"/>
  </si>
  <si>
    <t>Test</t>
    <phoneticPr fontId="1"/>
  </si>
  <si>
    <t>Middleware setup</t>
    <phoneticPr fontId="1"/>
  </si>
  <si>
    <t>Ita</t>
    <phoneticPr fontId="1"/>
  </si>
  <si>
    <t>Prod/DR/UAT</t>
    <phoneticPr fontId="1"/>
  </si>
  <si>
    <t>Dev-Apl</t>
    <phoneticPr fontId="1"/>
  </si>
  <si>
    <t>Dev-Infra</t>
    <phoneticPr fontId="1"/>
  </si>
  <si>
    <t>SSO</t>
    <phoneticPr fontId="1"/>
  </si>
  <si>
    <t>Jul</t>
  </si>
  <si>
    <t>Aug</t>
  </si>
  <si>
    <t>Aug</t>
    <phoneticPr fontId="1"/>
  </si>
  <si>
    <t>Sep</t>
  </si>
  <si>
    <t>Sep</t>
    <phoneticPr fontId="1"/>
  </si>
  <si>
    <t>Oct</t>
  </si>
  <si>
    <t>Oct</t>
    <phoneticPr fontId="1"/>
  </si>
  <si>
    <t>Nov</t>
  </si>
  <si>
    <t>Dec</t>
  </si>
  <si>
    <t>Jan</t>
  </si>
  <si>
    <t>Feb</t>
  </si>
  <si>
    <t>Mar</t>
  </si>
  <si>
    <t>Apr</t>
  </si>
  <si>
    <t>May</t>
  </si>
  <si>
    <t>Jun</t>
  </si>
  <si>
    <t>BD</t>
    <phoneticPr fontId="1"/>
  </si>
  <si>
    <t>DD/CT/Ita</t>
    <phoneticPr fontId="1"/>
  </si>
  <si>
    <t>Itb1</t>
    <phoneticPr fontId="1"/>
  </si>
  <si>
    <t>Itb2</t>
    <phoneticPr fontId="1"/>
  </si>
  <si>
    <t>ST1</t>
    <phoneticPr fontId="1"/>
  </si>
  <si>
    <t>ST2</t>
    <phoneticPr fontId="1"/>
  </si>
  <si>
    <t>ST3</t>
    <phoneticPr fontId="1"/>
  </si>
  <si>
    <t>Mig</t>
    <phoneticPr fontId="1"/>
  </si>
  <si>
    <t>-</t>
    <phoneticPr fontId="1"/>
  </si>
  <si>
    <t>-</t>
    <phoneticPr fontId="1"/>
  </si>
  <si>
    <t>-</t>
    <phoneticPr fontId="1"/>
  </si>
  <si>
    <t>-</t>
    <phoneticPr fontId="1"/>
  </si>
  <si>
    <t>-</t>
    <phoneticPr fontId="1"/>
  </si>
  <si>
    <t>SUM</t>
    <phoneticPr fontId="1"/>
  </si>
  <si>
    <t>Category</t>
    <phoneticPr fontId="1"/>
  </si>
  <si>
    <t>Stream1</t>
    <phoneticPr fontId="1"/>
  </si>
  <si>
    <t>Stream2</t>
    <phoneticPr fontId="1"/>
  </si>
  <si>
    <t>Stream3</t>
    <phoneticPr fontId="1"/>
  </si>
  <si>
    <t>Master</t>
    <phoneticPr fontId="1"/>
  </si>
  <si>
    <t>Infra Efforts</t>
    <phoneticPr fontId="1"/>
  </si>
  <si>
    <t>MD</t>
    <phoneticPr fontId="1"/>
  </si>
  <si>
    <t>MM</t>
    <phoneticPr fontId="1"/>
  </si>
  <si>
    <t>-</t>
    <phoneticPr fontId="1"/>
  </si>
  <si>
    <t>-</t>
    <phoneticPr fontId="1"/>
  </si>
  <si>
    <t>-</t>
    <phoneticPr fontId="1"/>
  </si>
  <si>
    <t>PIC</t>
    <phoneticPr fontId="1"/>
  </si>
  <si>
    <t>From</t>
    <phoneticPr fontId="1"/>
  </si>
  <si>
    <t>To</t>
    <phoneticPr fontId="1"/>
  </si>
  <si>
    <t>To</t>
    <phoneticPr fontId="1"/>
  </si>
  <si>
    <t>Remarks</t>
    <phoneticPr fontId="1"/>
  </si>
  <si>
    <t>Technical Design</t>
    <phoneticPr fontId="1"/>
  </si>
  <si>
    <t>Architecture</t>
    <phoneticPr fontId="1"/>
  </si>
  <si>
    <t>Adopted Products</t>
    <phoneticPr fontId="1"/>
  </si>
  <si>
    <t>Functional Spec</t>
    <phoneticPr fontId="1"/>
  </si>
  <si>
    <t>Web</t>
    <phoneticPr fontId="1"/>
  </si>
  <si>
    <t>Appl</t>
    <phoneticPr fontId="1"/>
  </si>
  <si>
    <t>DB</t>
    <phoneticPr fontId="1"/>
  </si>
  <si>
    <t>Naming Convention</t>
    <phoneticPr fontId="1"/>
  </si>
  <si>
    <t>HA</t>
    <phoneticPr fontId="1"/>
  </si>
  <si>
    <t>Web</t>
    <phoneticPr fontId="1"/>
  </si>
  <si>
    <t>Appl</t>
    <phoneticPr fontId="1"/>
  </si>
  <si>
    <t>Backup/Recovery</t>
    <phoneticPr fontId="1"/>
  </si>
  <si>
    <t>DR</t>
    <phoneticPr fontId="1"/>
  </si>
  <si>
    <t>Architecture</t>
    <phoneticPr fontId="1"/>
  </si>
  <si>
    <t>Replication</t>
    <phoneticPr fontId="1"/>
  </si>
  <si>
    <t>Switch method</t>
    <phoneticPr fontId="1"/>
  </si>
  <si>
    <t>CAPF</t>
    <phoneticPr fontId="1"/>
  </si>
  <si>
    <t>Sizing</t>
    <phoneticPr fontId="1"/>
  </si>
  <si>
    <t>Scalability</t>
    <phoneticPr fontId="1"/>
  </si>
  <si>
    <t>Security</t>
    <phoneticPr fontId="1"/>
  </si>
  <si>
    <t>Audit</t>
    <phoneticPr fontId="1"/>
  </si>
  <si>
    <t>Relevant System</t>
    <phoneticPr fontId="1"/>
  </si>
  <si>
    <t>Interface</t>
    <phoneticPr fontId="1"/>
  </si>
  <si>
    <t>MIS DB</t>
    <phoneticPr fontId="1"/>
  </si>
  <si>
    <t>Constraints</t>
    <phoneticPr fontId="1"/>
  </si>
  <si>
    <t>Ita setup</t>
    <phoneticPr fontId="1"/>
  </si>
  <si>
    <t>APF setup</t>
    <phoneticPr fontId="1"/>
  </si>
  <si>
    <t>Test case</t>
    <phoneticPr fontId="1"/>
  </si>
  <si>
    <t>Prod/DR/UAT setup</t>
    <phoneticPr fontId="1"/>
  </si>
  <si>
    <t>APF setup</t>
    <phoneticPr fontId="1"/>
  </si>
  <si>
    <t>Test</t>
    <phoneticPr fontId="1"/>
  </si>
  <si>
    <t>Operation Design</t>
    <phoneticPr fontId="1"/>
  </si>
  <si>
    <t>Maintenance window</t>
    <phoneticPr fontId="1"/>
  </si>
  <si>
    <t>Zabbix</t>
    <phoneticPr fontId="1"/>
  </si>
  <si>
    <t>Splunk</t>
    <phoneticPr fontId="1"/>
  </si>
  <si>
    <t>CyberArk</t>
    <phoneticPr fontId="1"/>
  </si>
  <si>
    <t>JP1</t>
    <phoneticPr fontId="1"/>
  </si>
  <si>
    <t>Basic Design</t>
    <phoneticPr fontId="1"/>
  </si>
  <si>
    <t>#</t>
    <phoneticPr fontId="1"/>
  </si>
  <si>
    <t>RPS</t>
    <phoneticPr fontId="1"/>
  </si>
  <si>
    <t>dk</t>
    <phoneticPr fontId="1"/>
  </si>
  <si>
    <t>SSO</t>
    <phoneticPr fontId="1"/>
  </si>
  <si>
    <t>SSO</t>
    <phoneticPr fontId="1"/>
  </si>
  <si>
    <t>SSO</t>
    <phoneticPr fontId="1"/>
  </si>
  <si>
    <t>Plan</t>
    <phoneticPr fontId="1"/>
  </si>
  <si>
    <t>Actual</t>
    <phoneticPr fontId="1"/>
  </si>
  <si>
    <t>August</t>
    <phoneticPr fontId="1"/>
  </si>
  <si>
    <t>September</t>
    <phoneticPr fontId="1"/>
  </si>
  <si>
    <t>March</t>
    <phoneticPr fontId="1"/>
  </si>
  <si>
    <t>April</t>
    <phoneticPr fontId="1"/>
  </si>
  <si>
    <t>May</t>
    <phoneticPr fontId="1"/>
  </si>
  <si>
    <t>June</t>
    <phoneticPr fontId="1"/>
  </si>
  <si>
    <t>July</t>
    <phoneticPr fontId="1"/>
  </si>
  <si>
    <t>October</t>
    <phoneticPr fontId="1"/>
  </si>
  <si>
    <t>November</t>
    <phoneticPr fontId="1"/>
  </si>
  <si>
    <t>December</t>
    <phoneticPr fontId="1"/>
  </si>
  <si>
    <t>January</t>
    <phoneticPr fontId="1"/>
  </si>
  <si>
    <t>February</t>
    <phoneticPr fontId="1"/>
  </si>
  <si>
    <t>NFR</t>
    <phoneticPr fontId="1"/>
  </si>
  <si>
    <t>dk</t>
    <phoneticPr fontId="1"/>
  </si>
  <si>
    <t>Design point</t>
    <phoneticPr fontId="1"/>
  </si>
  <si>
    <t>Application code (3 letters)</t>
    <phoneticPr fontId="1"/>
  </si>
  <si>
    <t>Cofirm with Dev-appl team</t>
    <phoneticPr fontId="1"/>
  </si>
  <si>
    <t>Contact</t>
    <phoneticPr fontId="1"/>
  </si>
  <si>
    <t>Ken</t>
    <phoneticPr fontId="1"/>
  </si>
  <si>
    <t>Interface between layers</t>
    <phoneticPr fontId="1"/>
  </si>
  <si>
    <t>Describe mechanism of interface between layers</t>
    <phoneticPr fontId="1"/>
  </si>
  <si>
    <t>Not Started</t>
    <phoneticPr fontId="1"/>
  </si>
  <si>
    <t>In Progress</t>
  </si>
  <si>
    <t>In Progress</t>
    <phoneticPr fontId="1"/>
  </si>
  <si>
    <t>4.1.2.7</t>
    <phoneticPr fontId="1"/>
  </si>
  <si>
    <t>4.2.2</t>
    <phoneticPr fontId="1"/>
  </si>
  <si>
    <t>Software</t>
    <phoneticPr fontId="1"/>
  </si>
  <si>
    <t>Which SW to install into which server</t>
    <phoneticPr fontId="1"/>
  </si>
  <si>
    <t>Naoya-san</t>
    <phoneticPr fontId="1"/>
  </si>
  <si>
    <t>Madhu</t>
    <phoneticPr fontId="1"/>
  </si>
  <si>
    <t>Pattition</t>
    <phoneticPr fontId="1"/>
  </si>
  <si>
    <t>Thiam Soon</t>
    <phoneticPr fontId="1"/>
  </si>
  <si>
    <t>Web, Apl, DB</t>
    <phoneticPr fontId="1"/>
  </si>
  <si>
    <t>Web, Apl, DB</t>
    <phoneticPr fontId="1"/>
  </si>
  <si>
    <t>4.3.1.2</t>
    <phoneticPr fontId="1"/>
  </si>
  <si>
    <t>IIS</t>
    <phoneticPr fontId="1"/>
  </si>
  <si>
    <t>Roles</t>
    <phoneticPr fontId="1"/>
  </si>
  <si>
    <t>Which roles to install</t>
    <phoneticPr fontId="1"/>
  </si>
  <si>
    <t>dai</t>
    <phoneticPr fontId="1"/>
  </si>
  <si>
    <t>Path (physical / virtual)</t>
    <phoneticPr fontId="1"/>
  </si>
  <si>
    <t>4.3.1.2</t>
    <phoneticPr fontId="1"/>
  </si>
  <si>
    <t>IIS</t>
    <phoneticPr fontId="1"/>
  </si>
  <si>
    <t>Architecture</t>
    <phoneticPr fontId="1"/>
  </si>
  <si>
    <t>Server spec</t>
    <phoneticPr fontId="1"/>
  </si>
  <si>
    <t>Server spec</t>
    <phoneticPr fontId="1"/>
  </si>
  <si>
    <t>Website design</t>
    <phoneticPr fontId="1"/>
  </si>
  <si>
    <t>4.3.1.2</t>
    <phoneticPr fontId="1"/>
  </si>
  <si>
    <t>IIS</t>
    <phoneticPr fontId="1"/>
  </si>
  <si>
    <t>Application Pool</t>
    <phoneticPr fontId="1"/>
  </si>
  <si>
    <t>Thiam Soon</t>
    <phoneticPr fontId="1"/>
  </si>
  <si>
    <t>Log</t>
    <phoneticPr fontId="1"/>
  </si>
  <si>
    <t>SSL</t>
    <phoneticPr fontId="1"/>
  </si>
  <si>
    <t>Thiam Soon</t>
    <phoneticPr fontId="1"/>
  </si>
  <si>
    <t>4.3.2</t>
    <phoneticPr fontId="1"/>
  </si>
  <si>
    <t>Apl server</t>
    <phoneticPr fontId="1"/>
  </si>
  <si>
    <t>Middleware, Software</t>
    <phoneticPr fontId="1"/>
  </si>
  <si>
    <t>4.3.3</t>
    <phoneticPr fontId="1"/>
  </si>
  <si>
    <t>Features</t>
    <phoneticPr fontId="1"/>
  </si>
  <si>
    <t>Which features to install</t>
    <phoneticPr fontId="1"/>
  </si>
  <si>
    <t>Instance</t>
    <phoneticPr fontId="1"/>
  </si>
  <si>
    <t>Regional design of instance</t>
    <phoneticPr fontId="1"/>
  </si>
  <si>
    <t>DB locations</t>
    <phoneticPr fontId="1"/>
  </si>
  <si>
    <t>Regional design of DB location</t>
    <phoneticPr fontId="1"/>
  </si>
  <si>
    <t>Security</t>
    <phoneticPr fontId="1"/>
  </si>
  <si>
    <t>Authentication, Authorization</t>
    <phoneticPr fontId="1"/>
  </si>
  <si>
    <t>MS SQL</t>
    <phoneticPr fontId="1"/>
  </si>
  <si>
    <t>MS SQL</t>
    <phoneticPr fontId="1"/>
  </si>
  <si>
    <t>SQL Cluster</t>
    <phoneticPr fontId="1"/>
  </si>
  <si>
    <t>Due date</t>
    <phoneticPr fontId="1"/>
  </si>
  <si>
    <t>In Progress</t>
    <phoneticPr fontId="1"/>
  </si>
  <si>
    <t>Not Started</t>
    <phoneticPr fontId="1"/>
  </si>
  <si>
    <t>Documentation</t>
    <phoneticPr fontId="1"/>
  </si>
  <si>
    <t>Review</t>
    <phoneticPr fontId="1"/>
  </si>
  <si>
    <t>ITD</t>
    <phoneticPr fontId="1"/>
  </si>
  <si>
    <t>R-EA</t>
    <phoneticPr fontId="1"/>
  </si>
  <si>
    <t>version 0.5</t>
    <phoneticPr fontId="1"/>
  </si>
  <si>
    <t>Test Event</t>
    <phoneticPr fontId="1"/>
  </si>
  <si>
    <t>Completed</t>
    <phoneticPr fontId="1"/>
  </si>
  <si>
    <t>Hr</t>
    <phoneticPr fontId="1"/>
  </si>
  <si>
    <t>Operation overview</t>
    <phoneticPr fontId="1"/>
  </si>
  <si>
    <t>Web</t>
    <phoneticPr fontId="1"/>
  </si>
  <si>
    <t>Appl</t>
    <phoneticPr fontId="1"/>
  </si>
  <si>
    <t>DB</t>
    <phoneticPr fontId="1"/>
  </si>
  <si>
    <t>dk</t>
    <phoneticPr fontId="1"/>
  </si>
  <si>
    <t>Completed</t>
  </si>
  <si>
    <t>In Progress</t>
    <phoneticPr fontId="1"/>
  </si>
  <si>
    <t>CAPF</t>
    <phoneticPr fontId="1"/>
  </si>
  <si>
    <t>Interface</t>
    <phoneticPr fontId="1"/>
  </si>
  <si>
    <t>Operation</t>
    <phoneticPr fontId="1"/>
  </si>
  <si>
    <t>Overview</t>
  </si>
  <si>
    <t>Introduction</t>
  </si>
  <si>
    <t>Direction</t>
    <phoneticPr fontId="1"/>
  </si>
  <si>
    <t>as of</t>
    <phoneticPr fontId="1"/>
  </si>
  <si>
    <t>Ryoh-san</t>
    <phoneticPr fontId="1"/>
  </si>
  <si>
    <t>CFIA</t>
    <phoneticPr fontId="1"/>
  </si>
  <si>
    <t>DB Storage Backup</t>
    <phoneticPr fontId="1"/>
  </si>
  <si>
    <t>Architecture Overview</t>
    <phoneticPr fontId="1"/>
  </si>
  <si>
    <t>Others</t>
    <phoneticPr fontId="1"/>
  </si>
  <si>
    <t>Hook up</t>
    <phoneticPr fontId="1"/>
  </si>
  <si>
    <t>SLD</t>
    <phoneticPr fontId="1"/>
  </si>
  <si>
    <t>SLD definition</t>
    <phoneticPr fontId="1"/>
  </si>
  <si>
    <t>There are descrepancies between SLD and description on CD. Which to follow?</t>
    <phoneticPr fontId="1"/>
  </si>
  <si>
    <t xml:space="preserve">Follow the codes defined by HO JAC in BD phase. Additional ones will be defineded newly by Dev team. </t>
    <phoneticPr fontId="1"/>
  </si>
  <si>
    <t>Share with JAC as it will be used for I/F diagram.</t>
    <phoneticPr fontId="1"/>
  </si>
  <si>
    <t>Completed</t>
    <phoneticPr fontId="1"/>
  </si>
  <si>
    <t>Functional Requirement</t>
    <phoneticPr fontId="1"/>
  </si>
  <si>
    <t>Best practice design</t>
    <phoneticPr fontId="1"/>
  </si>
  <si>
    <t>Best practice design</t>
    <phoneticPr fontId="1"/>
  </si>
  <si>
    <t>dai</t>
    <phoneticPr fontId="1"/>
  </si>
  <si>
    <t>-</t>
    <phoneticPr fontId="1"/>
  </si>
  <si>
    <t>Operation</t>
    <phoneticPr fontId="1"/>
  </si>
  <si>
    <t>Maintenance window</t>
    <phoneticPr fontId="1"/>
  </si>
  <si>
    <t>Zabbix form</t>
    <phoneticPr fontId="1"/>
  </si>
  <si>
    <t>Splunk form</t>
    <phoneticPr fontId="1"/>
  </si>
  <si>
    <t>JP1 form</t>
    <phoneticPr fontId="1"/>
  </si>
  <si>
    <t>CyberArk form</t>
    <phoneticPr fontId="1"/>
  </si>
  <si>
    <t>HA mechanism</t>
    <phoneticPr fontId="1"/>
  </si>
  <si>
    <t>1st from Infra point of view
2nd from App point of view</t>
    <phoneticPr fontId="1"/>
  </si>
  <si>
    <t>Backup</t>
    <phoneticPr fontId="1"/>
  </si>
  <si>
    <t>Backup/Recovery mechanism</t>
    <phoneticPr fontId="1"/>
  </si>
  <si>
    <t>dai</t>
    <phoneticPr fontId="1"/>
  </si>
  <si>
    <t>Study United Storage function
&gt;Best practice design</t>
    <phoneticPr fontId="1"/>
  </si>
  <si>
    <t>DR</t>
    <phoneticPr fontId="1"/>
  </si>
  <si>
    <t>DR mechanism</t>
    <phoneticPr fontId="1"/>
  </si>
  <si>
    <t>Naoya-san</t>
    <phoneticPr fontId="1"/>
  </si>
  <si>
    <t>CAPF</t>
    <phoneticPr fontId="1"/>
  </si>
  <si>
    <t>Capacity</t>
    <phoneticPr fontId="1"/>
  </si>
  <si>
    <t>Description on BD (redescribe CD contents?)</t>
    <phoneticPr fontId="1"/>
  </si>
  <si>
    <t>Scalability</t>
    <phoneticPr fontId="1"/>
  </si>
  <si>
    <t>Test criteria for CAPF</t>
    <phoneticPr fontId="1"/>
  </si>
  <si>
    <t>CAPF infra point of view</t>
    <phoneticPr fontId="1"/>
  </si>
  <si>
    <t>CAPF</t>
    <phoneticPr fontId="1"/>
  </si>
  <si>
    <t>Security</t>
    <phoneticPr fontId="1"/>
  </si>
  <si>
    <t>Firewall</t>
    <phoneticPr fontId="1"/>
  </si>
  <si>
    <t xml:space="preserve">Port ALC between servers and external </t>
    <phoneticPr fontId="1"/>
  </si>
  <si>
    <t xml:space="preserve">Relevant </t>
    <phoneticPr fontId="1"/>
  </si>
  <si>
    <t>Interface patterns</t>
    <phoneticPr fontId="1"/>
  </si>
  <si>
    <t>R-MIS interface</t>
    <phoneticPr fontId="1"/>
  </si>
  <si>
    <t>RPS interface</t>
    <phoneticPr fontId="1"/>
  </si>
  <si>
    <t>Local appl interface</t>
    <phoneticPr fontId="1"/>
  </si>
  <si>
    <t>-</t>
    <phoneticPr fontId="1"/>
  </si>
  <si>
    <t>-</t>
    <phoneticPr fontId="1"/>
  </si>
  <si>
    <t>Naoya-san</t>
    <phoneticPr fontId="1"/>
  </si>
  <si>
    <t>Naoya-san</t>
    <phoneticPr fontId="1"/>
  </si>
  <si>
    <t>App</t>
  </si>
  <si>
    <t>no need</t>
  </si>
  <si>
    <t>Scheduled</t>
  </si>
  <si>
    <t>Delayed</t>
  </si>
  <si>
    <t>Progress</t>
  </si>
  <si>
    <t>OVS Gr1 follows the existing APF and it is given. Therefore it is not required to describe the definition or configuration of APF itself in the BD document.</t>
  </si>
  <si>
    <t>Just to confirm if the naming convention is applicable or not.</t>
  </si>
  <si>
    <t>Thiam Soon</t>
  </si>
  <si>
    <t>Single site to host multiple application? (https://*:443)</t>
  </si>
  <si>
    <t>Each country will have an application pool which will host multiple web applications.</t>
  </si>
  <si>
    <t>Naoya-san</t>
  </si>
  <si>
    <t>Set it same as the physical path of the web application. 
Will it be used for system operation?</t>
  </si>
  <si>
    <t>Client-&gt;Web server is SSL? 
Confirm BIS design</t>
  </si>
  <si>
    <t>Windows authentication to adopt?</t>
  </si>
  <si>
    <t>it is ok</t>
  </si>
  <si>
    <t>Website authentication</t>
  </si>
  <si>
    <t>Provided by SSO with IP address.</t>
  </si>
  <si>
    <t>Basically default roles 
+ some additional which can be required by appl, such as .NET3.5, 4.5</t>
  </si>
  <si>
    <t xml:space="preserve">What needs to be configured?
</t>
  </si>
  <si>
    <t>Appliance</t>
  </si>
  <si>
    <t>HSM / Guardium</t>
  </si>
  <si>
    <t>Reconsider design after CAPF</t>
  </si>
  <si>
    <t>Application Pool - Service account</t>
  </si>
  <si>
    <t>Service account for application pool</t>
  </si>
  <si>
    <t>it depends on performance. See the result of CAPF to tune up.</t>
  </si>
  <si>
    <t>it depends on performance. See the result of CAPF to tune up.
Alternative: application pool for each application</t>
  </si>
  <si>
    <t>Application Pool - CPU throttling</t>
  </si>
  <si>
    <t>Limitation on CPU usage of application pool</t>
  </si>
  <si>
    <t>SSL connection is enabled for all IIS websites.
Request BTMUAP CA for certification and install it to the Web Server.</t>
  </si>
  <si>
    <t>Request SSO to issue the SSL certificate</t>
  </si>
  <si>
    <t>N/A</t>
  </si>
  <si>
    <t>Directory "LOG" is prepared for each application.</t>
  </si>
  <si>
    <t>Follow up (after DD phase)</t>
  </si>
  <si>
    <t>Web: C: (system), E: (application)
App: C: (system), E: (application)
DB: 
For DB, it's better to define and request SSO to configure based on the design.</t>
  </si>
  <si>
    <t>Windows Authentication: enable
Anonymous Authentication: disable
http://surferonwww.info/BlogEngine/post/2015/09/13/pass-through-authentication.aspx</t>
  </si>
  <si>
    <t>it depends on performance whether to use single website. Reconsider after CAPF.
Alternative: website for each application
https://technet.microsoft.com/library/hh831681.aspx</t>
  </si>
  <si>
    <t>Service account</t>
  </si>
  <si>
    <t>Batch for RSIT</t>
  </si>
  <si>
    <t>It is required to prepare AD service account for each application pool. This service account for the application pool will connect to the DB.  This configuration will prevent it from hard code the id and pw into website configuration file. 
If an application pool can connect to multiple application DB, there will be security risk. In that sense, it may be better to prepare application pool for each application.
http://www.iis.net/learn/manage/configuring-security/application-pool-identities</t>
  </si>
  <si>
    <t xml:space="preserve">1. IIS
Settings are exactly same as for the Web server, except for Web application name; Website name + Api (i.e. CCSApi)
2. Batch for RSIT </t>
  </si>
  <si>
    <t>saRGNPool</t>
  </si>
  <si>
    <t>version 0.8</t>
  </si>
  <si>
    <t>Procurement</t>
  </si>
  <si>
    <t>Hook up</t>
  </si>
  <si>
    <t>dk</t>
  </si>
  <si>
    <t>Version 0.9</t>
  </si>
  <si>
    <t>WSFC</t>
  </si>
  <si>
    <t>follow the ARISE standard</t>
  </si>
  <si>
    <t>DB engine
Management console
SSRS</t>
  </si>
  <si>
    <t>MSDTC (distributed transaction coordinator)</t>
  </si>
  <si>
    <t>if it is required to have a clustered MSDTC</t>
  </si>
  <si>
    <t>no need. 
https://blogs.msdn.microsoft.com/alwaysonpro/2014/01/15/msdtc-recommendations-on-sql-failover-cluster/</t>
  </si>
  <si>
    <t>dai</t>
  </si>
  <si>
    <t>Zabbix requires local sa
Mix mode is required</t>
  </si>
  <si>
    <t>Hostname / IP / etc</t>
  </si>
  <si>
    <t>Batch jobs</t>
  </si>
  <si>
    <t>IIS</t>
  </si>
  <si>
    <t>2 way SSL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</si>
</sst>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_ "/>
    <numFmt numFmtId="165" formatCode="d"/>
    <numFmt numFmtId="166" formatCode="mmm/dd"/>
    <numFmt numFmtId="167" formatCode="mm/dd"/>
    <numFmt numFmtId="168" formatCode="yyyy/mmm/dd"/>
  </numFmts>
  <fonts count="9">
    <font>
      <sz val="11"/>
      <color theme="1"/>
      <name val="Calibri"/>
      <family val="2"/>
      <charset val="128"/>
      <scheme val="minor"/>
    </font>
    <font>
      <sz val="6"/>
      <name val="Calibri"/>
      <family val="2"/>
      <charset val="128"/>
      <scheme val="minor"/>
    </font>
    <font>
      <sz val="8"/>
      <color theme="1"/>
      <name val="Meiryo UI"/>
      <family val="3"/>
      <charset val="128"/>
    </font>
    <font>
      <sz val="9"/>
      <color theme="1"/>
      <name val="Meiryo UI"/>
      <family val="3"/>
      <charset val="128"/>
    </font>
    <font>
      <sz val="9"/>
      <color theme="0"/>
      <name val="Meiryo UI"/>
      <family val="3"/>
      <charset val="128"/>
    </font>
    <font>
      <sz val="9"/>
      <name val="Meiryo UI"/>
      <family val="3"/>
      <charset val="128"/>
    </font>
    <font>
      <sz val="9"/>
      <color theme="0" tint="-0.34998626667073579"/>
      <name val="Meiryo UI"/>
      <family val="3"/>
      <charset val="128"/>
    </font>
    <font>
      <strike/>
      <sz val="9"/>
      <color theme="1"/>
      <name val="Meiryo UI"/>
      <family val="3"/>
      <charset val="128"/>
    </font>
    <font>
      <sz val="9"/>
      <color theme="0" tint="-0.249977111117893"/>
      <name val="Meiryo UI"/>
      <family val="3"/>
      <charset val="128"/>
    </font>
  </fonts>
  <fills count="18">
    <fill>
      <patternFill patternType="none"/>
    </fill>
    <fill>
      <patternFill patternType="gray125"/>
    </fill>
    <fill>
      <patternFill patternType="solid">
        <fgColor theme="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theme="8" tint="-0.499984740745262"/>
        <bgColor indexed="64"/>
      </patternFill>
    </fill>
    <fill>
      <patternFill patternType="solid">
        <fgColor theme="0" tint="-0.24994659260841701"/>
        <bgColor indexed="64"/>
      </patternFill>
    </fill>
    <fill>
      <patternFill patternType="darkUp"/>
    </fill>
    <fill>
      <patternFill patternType="lightUp"/>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s>
  <cellStyleXfs count="1">
    <xf numFmtId="0" fontId="0" fillId="0" borderId="0">
      <alignment vertical="center"/>
    </xf>
  </cellStyleXfs>
  <cellXfs count="93">
    <xf numFmtId="0" fontId="0" fillId="0" borderId="0" xfId="0">
      <alignment vertical="center"/>
    </xf>
    <xf numFmtId="0" fontId="3" fillId="0" borderId="0" xfId="0" applyFont="1">
      <alignment vertical="center"/>
    </xf>
    <xf numFmtId="0" fontId="3" fillId="0" borderId="1" xfId="0" applyFont="1" applyBorder="1">
      <alignment vertical="center"/>
    </xf>
    <xf numFmtId="0" fontId="3" fillId="4" borderId="1" xfId="0" applyFont="1" applyFill="1" applyBorder="1">
      <alignment vertical="center"/>
    </xf>
    <xf numFmtId="0" fontId="3" fillId="5" borderId="1" xfId="0" applyFont="1" applyFill="1" applyBorder="1">
      <alignment vertical="center"/>
    </xf>
    <xf numFmtId="0" fontId="3" fillId="6" borderId="1" xfId="0" applyFont="1" applyFill="1" applyBorder="1">
      <alignment vertical="center"/>
    </xf>
    <xf numFmtId="0" fontId="3" fillId="10" borderId="1" xfId="0" applyFont="1" applyFill="1" applyBorder="1">
      <alignment vertical="center"/>
    </xf>
    <xf numFmtId="0" fontId="3" fillId="11" borderId="1" xfId="0" applyFont="1" applyFill="1" applyBorder="1">
      <alignment vertical="center"/>
    </xf>
    <xf numFmtId="0" fontId="3" fillId="9" borderId="1" xfId="0" applyFont="1" applyFill="1" applyBorder="1">
      <alignment vertical="center"/>
    </xf>
    <xf numFmtId="164" fontId="2" fillId="0" borderId="1" xfId="0" applyNumberFormat="1" applyFont="1" applyBorder="1">
      <alignment vertical="center"/>
    </xf>
    <xf numFmtId="0" fontId="3" fillId="0" borderId="1" xfId="0" applyFont="1" applyFill="1" applyBorder="1">
      <alignment vertical="center"/>
    </xf>
    <xf numFmtId="0" fontId="3" fillId="7" borderId="1" xfId="0" applyFont="1" applyFill="1" applyBorder="1">
      <alignment vertical="center"/>
    </xf>
    <xf numFmtId="0" fontId="3" fillId="9" borderId="6" xfId="0" applyFont="1" applyFill="1" applyBorder="1">
      <alignment vertical="center"/>
    </xf>
    <xf numFmtId="0" fontId="3" fillId="0" borderId="6" xfId="0" applyFont="1" applyBorder="1">
      <alignment vertical="center"/>
    </xf>
    <xf numFmtId="0" fontId="3" fillId="9" borderId="5" xfId="0" applyFont="1" applyFill="1" applyBorder="1">
      <alignment vertical="center"/>
    </xf>
    <xf numFmtId="0" fontId="3" fillId="0" borderId="5"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3" fillId="7" borderId="7" xfId="0" applyFont="1" applyFill="1" applyBorder="1">
      <alignment vertical="center"/>
    </xf>
    <xf numFmtId="0" fontId="3" fillId="7" borderId="8" xfId="0" applyFont="1" applyFill="1" applyBorder="1">
      <alignment vertical="center"/>
    </xf>
    <xf numFmtId="0" fontId="3" fillId="7" borderId="9" xfId="0" applyFont="1" applyFill="1" applyBorder="1">
      <alignment vertical="center"/>
    </xf>
    <xf numFmtId="0" fontId="4" fillId="13" borderId="7" xfId="0" applyFont="1" applyFill="1" applyBorder="1">
      <alignment vertical="center"/>
    </xf>
    <xf numFmtId="0" fontId="4" fillId="13" borderId="8" xfId="0" applyFont="1" applyFill="1" applyBorder="1">
      <alignment vertical="center"/>
    </xf>
    <xf numFmtId="0" fontId="4" fillId="13" borderId="9" xfId="0" applyFont="1" applyFill="1" applyBorder="1">
      <alignment vertical="center"/>
    </xf>
    <xf numFmtId="0" fontId="4" fillId="13" borderId="2" xfId="0" applyFont="1" applyFill="1" applyBorder="1">
      <alignment vertical="center"/>
    </xf>
    <xf numFmtId="0" fontId="4" fillId="13" borderId="3" xfId="0" applyFont="1" applyFill="1" applyBorder="1">
      <alignment vertical="center"/>
    </xf>
    <xf numFmtId="0" fontId="4" fillId="13" borderId="4" xfId="0" applyFont="1" applyFill="1" applyBorder="1">
      <alignment vertical="center"/>
    </xf>
    <xf numFmtId="0" fontId="3" fillId="7" borderId="2" xfId="0" applyFont="1" applyFill="1" applyBorder="1">
      <alignment vertical="center"/>
    </xf>
    <xf numFmtId="0" fontId="3" fillId="7" borderId="3" xfId="0" applyFont="1" applyFill="1" applyBorder="1">
      <alignment vertical="center"/>
    </xf>
    <xf numFmtId="0" fontId="3" fillId="7" borderId="4" xfId="0" applyFont="1" applyFill="1" applyBorder="1">
      <alignment vertical="center"/>
    </xf>
    <xf numFmtId="0" fontId="3" fillId="0" borderId="2" xfId="0" applyFont="1" applyBorder="1">
      <alignment vertical="center"/>
    </xf>
    <xf numFmtId="0" fontId="3" fillId="0" borderId="3" xfId="0" applyFont="1" applyBorder="1">
      <alignment vertical="center"/>
    </xf>
    <xf numFmtId="0" fontId="3" fillId="0" borderId="4" xfId="0" applyFont="1" applyBorder="1">
      <alignment vertical="center"/>
    </xf>
    <xf numFmtId="0" fontId="3" fillId="0" borderId="0" xfId="0" applyFont="1" applyAlignment="1">
      <alignment horizontal="center" vertical="center"/>
    </xf>
    <xf numFmtId="0" fontId="4" fillId="13" borderId="1" xfId="0" applyFont="1" applyFill="1" applyBorder="1" applyAlignment="1">
      <alignment horizontal="center" vertical="center"/>
    </xf>
    <xf numFmtId="0" fontId="3" fillId="7" borderId="1" xfId="0" applyFont="1" applyFill="1" applyBorder="1" applyAlignment="1">
      <alignment horizontal="center" vertical="center"/>
    </xf>
    <xf numFmtId="0" fontId="3" fillId="0" borderId="1" xfId="0" applyFont="1" applyBorder="1" applyAlignment="1">
      <alignment horizontal="center" vertical="center"/>
    </xf>
    <xf numFmtId="165" fontId="3" fillId="0" borderId="7" xfId="0" applyNumberFormat="1" applyFont="1" applyBorder="1">
      <alignment vertical="center"/>
    </xf>
    <xf numFmtId="165" fontId="3" fillId="0" borderId="8" xfId="0" applyNumberFormat="1" applyFont="1" applyBorder="1">
      <alignment vertical="center"/>
    </xf>
    <xf numFmtId="165" fontId="3" fillId="0" borderId="9" xfId="0" applyNumberFormat="1" applyFont="1" applyBorder="1">
      <alignment vertical="center"/>
    </xf>
    <xf numFmtId="0" fontId="4" fillId="2" borderId="1" xfId="0" applyFont="1" applyFill="1" applyBorder="1" applyAlignment="1">
      <alignment horizontal="center" vertical="center"/>
    </xf>
    <xf numFmtId="166" fontId="3" fillId="0" borderId="1" xfId="0" applyNumberFormat="1" applyFont="1" applyBorder="1" applyAlignment="1">
      <alignment horizontal="center" vertical="center"/>
    </xf>
    <xf numFmtId="165" fontId="3" fillId="0" borderId="10" xfId="0" applyNumberFormat="1" applyFont="1" applyBorder="1">
      <alignment vertical="center"/>
    </xf>
    <xf numFmtId="0" fontId="3" fillId="7" borderId="10" xfId="0" applyFont="1" applyFill="1" applyBorder="1">
      <alignment vertical="center"/>
    </xf>
    <xf numFmtId="0" fontId="3" fillId="0" borderId="10" xfId="0" applyFont="1" applyBorder="1">
      <alignment vertical="center"/>
    </xf>
    <xf numFmtId="165" fontId="3" fillId="0" borderId="11" xfId="0" applyNumberFormat="1" applyFont="1" applyBorder="1">
      <alignment vertical="center"/>
    </xf>
    <xf numFmtId="0" fontId="3" fillId="7" borderId="11" xfId="0" applyFont="1" applyFill="1" applyBorder="1">
      <alignment vertical="center"/>
    </xf>
    <xf numFmtId="0" fontId="3" fillId="0" borderId="11" xfId="0" applyFont="1" applyBorder="1">
      <alignment vertical="center"/>
    </xf>
    <xf numFmtId="0" fontId="3" fillId="3" borderId="1" xfId="0" applyFont="1" applyFill="1" applyBorder="1" applyAlignment="1">
      <alignment horizontal="center" vertical="center"/>
    </xf>
    <xf numFmtId="0" fontId="4" fillId="13" borderId="2" xfId="0" applyFont="1" applyFill="1" applyBorder="1" applyAlignment="1">
      <alignment horizontal="center" vertical="center"/>
    </xf>
    <xf numFmtId="0" fontId="4" fillId="0" borderId="0" xfId="0" applyFont="1" applyFill="1" applyBorder="1">
      <alignment vertical="center"/>
    </xf>
    <xf numFmtId="0" fontId="3" fillId="0" borderId="1" xfId="0" applyFont="1" applyBorder="1" applyAlignment="1">
      <alignment horizontal="center" vertical="center"/>
    </xf>
    <xf numFmtId="167" fontId="3" fillId="7" borderId="1" xfId="0" applyNumberFormat="1" applyFont="1" applyFill="1" applyBorder="1">
      <alignment vertical="center"/>
    </xf>
    <xf numFmtId="167" fontId="3" fillId="0" borderId="1" xfId="0" applyNumberFormat="1" applyFont="1" applyBorder="1">
      <alignment vertical="center"/>
    </xf>
    <xf numFmtId="167" fontId="3" fillId="0" borderId="1" xfId="0" applyNumberFormat="1" applyFont="1" applyBorder="1" applyAlignment="1">
      <alignment horizontal="right" vertical="center"/>
    </xf>
    <xf numFmtId="167" fontId="3" fillId="7" borderId="1" xfId="0" applyNumberFormat="1" applyFont="1" applyFill="1" applyBorder="1" applyAlignment="1">
      <alignment horizontal="right" vertical="center"/>
    </xf>
    <xf numFmtId="0" fontId="5" fillId="0" borderId="3" xfId="0" applyFont="1" applyBorder="1">
      <alignment vertical="center"/>
    </xf>
    <xf numFmtId="0" fontId="5" fillId="0" borderId="4" xfId="0" applyFont="1" applyBorder="1">
      <alignment vertical="center"/>
    </xf>
    <xf numFmtId="0" fontId="6" fillId="0" borderId="0" xfId="0" applyFont="1" applyAlignment="1">
      <alignment horizontal="center" vertical="center"/>
    </xf>
    <xf numFmtId="0" fontId="3" fillId="8" borderId="1" xfId="0" applyFont="1" applyFill="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3" fillId="0" borderId="1" xfId="0" applyFont="1" applyBorder="1" applyAlignment="1">
      <alignment horizontal="left" vertical="top"/>
    </xf>
    <xf numFmtId="166" fontId="3" fillId="0" borderId="1" xfId="0" applyNumberFormat="1" applyFont="1" applyBorder="1" applyAlignment="1">
      <alignment horizontal="left" vertical="top" wrapText="1"/>
    </xf>
    <xf numFmtId="168" fontId="3" fillId="0" borderId="1" xfId="0" applyNumberFormat="1" applyFont="1" applyBorder="1">
      <alignment vertical="center"/>
    </xf>
    <xf numFmtId="0" fontId="3" fillId="0" borderId="1" xfId="0" applyFont="1" applyBorder="1" applyAlignment="1">
      <alignment horizontal="center" vertical="center"/>
    </xf>
    <xf numFmtId="0" fontId="7" fillId="0" borderId="3" xfId="0" applyFont="1" applyBorder="1">
      <alignment vertical="center"/>
    </xf>
    <xf numFmtId="0" fontId="3" fillId="0" borderId="0" xfId="0" applyFont="1" applyAlignment="1">
      <alignment horizontal="right" vertical="center"/>
    </xf>
    <xf numFmtId="0" fontId="3" fillId="15" borderId="0" xfId="0" applyFont="1" applyFill="1" applyAlignment="1">
      <alignment horizontal="center" vertic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5" fillId="0" borderId="1" xfId="0" applyFont="1" applyBorder="1" applyAlignment="1">
      <alignment horizontal="center" vertical="center"/>
    </xf>
    <xf numFmtId="167" fontId="5" fillId="0" borderId="1" xfId="0" applyNumberFormat="1" applyFont="1" applyBorder="1" applyAlignment="1">
      <alignment horizontal="right"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8" fillId="0" borderId="0" xfId="0" applyFont="1" applyBorder="1">
      <alignment vertical="center"/>
    </xf>
    <xf numFmtId="0" fontId="3" fillId="0" borderId="1" xfId="0" applyFont="1" applyBorder="1" applyAlignment="1">
      <alignment horizontal="center" vertical="center"/>
    </xf>
    <xf numFmtId="0" fontId="3" fillId="0" borderId="0" xfId="0" applyFont="1" applyAlignment="1">
      <alignment vertical="center" wrapText="1"/>
    </xf>
    <xf numFmtId="0" fontId="4" fillId="2" borderId="1" xfId="0" applyFont="1" applyFill="1" applyBorder="1" applyAlignment="1">
      <alignment horizontal="center" vertical="center" wrapText="1"/>
    </xf>
    <xf numFmtId="166" fontId="3" fillId="0" borderId="1" xfId="0" applyNumberFormat="1" applyFont="1" applyFill="1" applyBorder="1" applyAlignment="1">
      <alignment horizontal="left" vertical="top" wrapText="1"/>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3" borderId="1" xfId="0" applyFont="1" applyFill="1" applyBorder="1" applyAlignment="1">
      <alignment horizontal="center" vertical="center"/>
    </xf>
    <xf numFmtId="0" fontId="3" fillId="12" borderId="1" xfId="0" applyFont="1" applyFill="1" applyBorder="1" applyAlignment="1">
      <alignment horizontal="center" vertical="center"/>
    </xf>
    <xf numFmtId="0" fontId="4" fillId="13" borderId="2" xfId="0" applyFont="1" applyFill="1" applyBorder="1" applyAlignment="1">
      <alignment horizontal="center" vertical="center"/>
    </xf>
    <xf numFmtId="0" fontId="4" fillId="13" borderId="4" xfId="0" applyFont="1" applyFill="1" applyBorder="1" applyAlignment="1">
      <alignment horizontal="center" vertical="center"/>
    </xf>
    <xf numFmtId="0" fontId="4" fillId="14" borderId="1" xfId="0" applyFont="1" applyFill="1" applyBorder="1" applyAlignment="1">
      <alignment horizontal="center" vertical="center"/>
    </xf>
    <xf numFmtId="0" fontId="4" fillId="13" borderId="1" xfId="0" applyFont="1" applyFill="1" applyBorder="1" applyAlignment="1">
      <alignment horizontal="left" vertical="top"/>
    </xf>
    <xf numFmtId="0" fontId="3" fillId="0" borderId="1" xfId="0" applyFont="1" applyBorder="1" applyAlignment="1">
      <alignment horizontal="center" vertical="center"/>
    </xf>
  </cellXfs>
  <cellStyles count="1">
    <cellStyle name="標準" xfId="0" builtinId="0"/>
  </cellStyles>
  <dxfs count="38">
    <dxf>
      <fill>
        <patternFill>
          <bgColor theme="0" tint="-0.24994659260841701"/>
        </patternFill>
      </fill>
    </dxf>
    <dxf>
      <fill>
        <patternFill>
          <bgColor theme="7"/>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7"/>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7"/>
        </patternFill>
      </fill>
    </dxf>
    <dxf>
      <fill>
        <patternFill>
          <bgColor theme="0" tint="-0.24994659260841701"/>
        </patternFill>
      </fill>
    </dxf>
    <dxf>
      <fill>
        <patternFill>
          <bgColor theme="0" tint="-0.24994659260841701"/>
        </patternFill>
      </fill>
    </dxf>
    <dxf>
      <fill>
        <patternFill>
          <bgColor theme="7"/>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patternType="lightUp"/>
      </fill>
    </dxf>
    <dxf>
      <fill>
        <patternFill>
          <bgColor theme="0" tint="-0.24994659260841701"/>
        </patternFill>
      </fill>
    </dxf>
    <dxf>
      <fill>
        <patternFill patternType="darkUp"/>
      </fill>
    </dxf>
    <dxf>
      <fill>
        <patternFill>
          <bgColor theme="1" tint="0.499984740745262"/>
        </patternFill>
      </fill>
    </dxf>
    <dxf>
      <fill>
        <patternFill patternType="lightUp"/>
      </fill>
    </dxf>
    <dxf>
      <fill>
        <patternFill>
          <bgColor theme="0" tint="-0.24994659260841701"/>
        </patternFill>
      </fill>
    </dxf>
    <dxf>
      <fill>
        <patternFill patternType="darkUp"/>
      </fill>
    </dxf>
    <dxf>
      <fill>
        <patternFill>
          <bgColor theme="1" tint="0.499984740745262"/>
        </patternFill>
      </fill>
    </dxf>
    <dxf>
      <fill>
        <patternFill>
          <bgColor theme="1" tint="0.499984740745262"/>
        </patternFill>
      </fill>
    </dxf>
    <dxf>
      <fill>
        <patternFill patternType="lightUp"/>
      </fill>
    </dxf>
    <dxf>
      <fill>
        <patternFill>
          <bgColor theme="0" tint="-0.24994659260841701"/>
        </patternFill>
      </fill>
    </dxf>
    <dxf>
      <fill>
        <patternFill patternType="darkUp"/>
      </fill>
    </dxf>
    <dxf>
      <fill>
        <patternFill>
          <bgColor rgb="FFFF0000"/>
        </patternFill>
      </fill>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902072</xdr:colOff>
      <xdr:row>0</xdr:row>
      <xdr:rowOff>72837</xdr:rowOff>
    </xdr:from>
    <xdr:to>
      <xdr:col>10</xdr:col>
      <xdr:colOff>1899395</xdr:colOff>
      <xdr:row>2</xdr:row>
      <xdr:rowOff>61631</xdr:rowOff>
    </xdr:to>
    <xdr:sp macro="[0]!RowHeight" textlink="">
      <xdr:nvSpPr>
        <xdr:cNvPr id="2" name="テキスト ボックス 1"/>
        <xdr:cNvSpPr txBox="1"/>
      </xdr:nvSpPr>
      <xdr:spPr>
        <a:xfrm>
          <a:off x="11463617" y="72837"/>
          <a:ext cx="997323" cy="291353"/>
        </a:xfrm>
        <a:prstGeom prst="rect">
          <a:avLst/>
        </a:prstGeom>
        <a:solidFill>
          <a:schemeClr val="accent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Row</a:t>
          </a:r>
          <a:r>
            <a:rPr lang="en-US" sz="1200" b="1" baseline="0">
              <a:solidFill>
                <a:schemeClr val="bg1"/>
              </a:solidFill>
            </a:rPr>
            <a:t> Height</a:t>
          </a:r>
          <a:endParaRPr lang="en-US" sz="1200" b="1">
            <a:solidFill>
              <a:schemeClr val="bg1"/>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P79"/>
  <sheetViews>
    <sheetView zoomScale="70" zoomScaleNormal="70" workbookViewId="0">
      <pane xSplit="9" ySplit="5" topLeftCell="J6" activePane="bottomRight" state="frozen"/>
      <selection pane="topRight" activeCell="J1" sqref="J1"/>
      <selection pane="bottomLeft" activeCell="A6" sqref="A6"/>
      <selection pane="bottomRight"/>
    </sheetView>
  </sheetViews>
  <sheetFormatPr defaultRowHeight="12" outlineLevelCol="1"/>
  <cols>
    <col min="1" max="1" width="2.86328125" style="1" customWidth="1"/>
    <col min="2" max="3" width="2.3984375" style="1" bestFit="1" customWidth="1"/>
    <col min="4" max="4" width="3.06640625" style="1" bestFit="1" customWidth="1"/>
    <col min="5" max="5" width="2.3984375" style="1" customWidth="1"/>
    <col min="6" max="8" width="3.6640625" style="1" customWidth="1"/>
    <col min="9" max="9" width="16" style="1" customWidth="1"/>
    <col min="10" max="10" width="4.6640625" style="34" bestFit="1" customWidth="1"/>
    <col min="11" max="14" width="6.265625" style="1" bestFit="1" customWidth="1"/>
    <col min="15" max="15" width="12.46484375" style="1" bestFit="1" customWidth="1"/>
    <col min="16" max="16" width="12.33203125" style="1" customWidth="1"/>
    <col min="17" max="38" width="3.19921875" style="1" customWidth="1"/>
    <col min="39" max="68" width="3.19921875" style="1" customWidth="1" outlineLevel="1"/>
    <col min="69" max="76" width="2.46484375" style="1" customWidth="1"/>
    <col min="77" max="16384" width="9.06640625" style="1"/>
  </cols>
  <sheetData>
    <row r="1" spans="1:68">
      <c r="A1" s="1" t="s">
        <v>0</v>
      </c>
      <c r="I1" s="68" t="s">
        <v>262</v>
      </c>
      <c r="J1" s="69"/>
    </row>
    <row r="2" spans="1:68">
      <c r="A2" s="1" t="s">
        <v>1</v>
      </c>
      <c r="I2" s="68" t="s">
        <v>264</v>
      </c>
      <c r="J2" s="70"/>
      <c r="N2" s="49" t="s">
        <v>208</v>
      </c>
      <c r="O2" s="65">
        <f ca="1">TODAY()</f>
        <v>42674</v>
      </c>
      <c r="Q2" s="86">
        <v>2016</v>
      </c>
      <c r="R2" s="86"/>
      <c r="S2" s="86"/>
      <c r="T2" s="86"/>
      <c r="U2" s="86"/>
      <c r="V2" s="86"/>
      <c r="W2" s="86"/>
      <c r="X2" s="86"/>
      <c r="Y2" s="86"/>
      <c r="Z2" s="86"/>
      <c r="AA2" s="86"/>
      <c r="AB2" s="86"/>
      <c r="AC2" s="86"/>
      <c r="AD2" s="86"/>
      <c r="AE2" s="86"/>
      <c r="AF2" s="86"/>
      <c r="AG2" s="86"/>
      <c r="AH2" s="86"/>
      <c r="AI2" s="86"/>
      <c r="AJ2" s="86"/>
      <c r="AK2" s="86"/>
      <c r="AL2" s="86"/>
      <c r="AM2" s="87">
        <v>2017</v>
      </c>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row>
    <row r="3" spans="1:68" ht="12.75" customHeight="1">
      <c r="I3" s="68" t="s">
        <v>263</v>
      </c>
      <c r="J3" s="71"/>
      <c r="O3" s="59"/>
      <c r="Q3" s="91" t="s">
        <v>116</v>
      </c>
      <c r="R3" s="91"/>
      <c r="S3" s="91"/>
      <c r="T3" s="91"/>
      <c r="U3" s="91"/>
      <c r="V3" s="91" t="s">
        <v>117</v>
      </c>
      <c r="W3" s="91"/>
      <c r="X3" s="91"/>
      <c r="Y3" s="91"/>
      <c r="Z3" s="91" t="s">
        <v>123</v>
      </c>
      <c r="AA3" s="91"/>
      <c r="AB3" s="91"/>
      <c r="AC3" s="91"/>
      <c r="AD3" s="91"/>
      <c r="AE3" s="91" t="s">
        <v>124</v>
      </c>
      <c r="AF3" s="91"/>
      <c r="AG3" s="91"/>
      <c r="AH3" s="91"/>
      <c r="AI3" s="91" t="s">
        <v>125</v>
      </c>
      <c r="AJ3" s="91"/>
      <c r="AK3" s="91"/>
      <c r="AL3" s="91"/>
      <c r="AM3" s="90" t="s">
        <v>126</v>
      </c>
      <c r="AN3" s="90"/>
      <c r="AO3" s="90"/>
      <c r="AP3" s="90"/>
      <c r="AQ3" s="90"/>
      <c r="AR3" s="90" t="s">
        <v>127</v>
      </c>
      <c r="AS3" s="90"/>
      <c r="AT3" s="90"/>
      <c r="AU3" s="90"/>
      <c r="AV3" s="90" t="s">
        <v>118</v>
      </c>
      <c r="AW3" s="90"/>
      <c r="AX3" s="90"/>
      <c r="AY3" s="90"/>
      <c r="AZ3" s="90" t="s">
        <v>119</v>
      </c>
      <c r="BA3" s="90"/>
      <c r="BB3" s="90"/>
      <c r="BC3" s="90"/>
      <c r="BD3" s="90" t="s">
        <v>120</v>
      </c>
      <c r="BE3" s="90"/>
      <c r="BF3" s="90"/>
      <c r="BG3" s="90"/>
      <c r="BH3" s="90"/>
      <c r="BI3" s="90" t="s">
        <v>121</v>
      </c>
      <c r="BJ3" s="90"/>
      <c r="BK3" s="90"/>
      <c r="BL3" s="90"/>
      <c r="BM3" s="90" t="s">
        <v>122</v>
      </c>
      <c r="BN3" s="90"/>
      <c r="BO3" s="90"/>
      <c r="BP3" s="90"/>
    </row>
    <row r="4" spans="1:68">
      <c r="K4" s="88" t="s">
        <v>114</v>
      </c>
      <c r="L4" s="89"/>
      <c r="M4" s="88" t="s">
        <v>115</v>
      </c>
      <c r="N4" s="89"/>
      <c r="Q4" s="38">
        <v>42583</v>
      </c>
      <c r="R4" s="39">
        <f t="shared" ref="R4:AW4" si="0">Q5+1</f>
        <v>42590</v>
      </c>
      <c r="S4" s="39">
        <f t="shared" si="0"/>
        <v>42597</v>
      </c>
      <c r="T4" s="39">
        <f t="shared" si="0"/>
        <v>42604</v>
      </c>
      <c r="U4" s="43">
        <f t="shared" si="0"/>
        <v>42611</v>
      </c>
      <c r="V4" s="38">
        <f t="shared" si="0"/>
        <v>42618</v>
      </c>
      <c r="W4" s="39">
        <f t="shared" si="0"/>
        <v>42625</v>
      </c>
      <c r="X4" s="39">
        <f t="shared" si="0"/>
        <v>42632</v>
      </c>
      <c r="Y4" s="40">
        <f t="shared" si="0"/>
        <v>42639</v>
      </c>
      <c r="Z4" s="46">
        <f t="shared" si="0"/>
        <v>42646</v>
      </c>
      <c r="AA4" s="39">
        <f t="shared" si="0"/>
        <v>42653</v>
      </c>
      <c r="AB4" s="39">
        <f t="shared" si="0"/>
        <v>42660</v>
      </c>
      <c r="AC4" s="39">
        <f t="shared" si="0"/>
        <v>42667</v>
      </c>
      <c r="AD4" s="43">
        <f t="shared" si="0"/>
        <v>42674</v>
      </c>
      <c r="AE4" s="38">
        <f t="shared" si="0"/>
        <v>42681</v>
      </c>
      <c r="AF4" s="39">
        <f t="shared" si="0"/>
        <v>42688</v>
      </c>
      <c r="AG4" s="39">
        <f t="shared" si="0"/>
        <v>42695</v>
      </c>
      <c r="AH4" s="40">
        <f t="shared" si="0"/>
        <v>42702</v>
      </c>
      <c r="AI4" s="46">
        <f t="shared" si="0"/>
        <v>42709</v>
      </c>
      <c r="AJ4" s="39">
        <f t="shared" si="0"/>
        <v>42716</v>
      </c>
      <c r="AK4" s="39">
        <f t="shared" si="0"/>
        <v>42723</v>
      </c>
      <c r="AL4" s="43">
        <f t="shared" si="0"/>
        <v>42730</v>
      </c>
      <c r="AM4" s="38">
        <f t="shared" si="0"/>
        <v>42737</v>
      </c>
      <c r="AN4" s="39">
        <f t="shared" si="0"/>
        <v>42744</v>
      </c>
      <c r="AO4" s="39">
        <f t="shared" si="0"/>
        <v>42751</v>
      </c>
      <c r="AP4" s="39">
        <f t="shared" si="0"/>
        <v>42758</v>
      </c>
      <c r="AQ4" s="40">
        <f t="shared" si="0"/>
        <v>42765</v>
      </c>
      <c r="AR4" s="46">
        <f t="shared" si="0"/>
        <v>42772</v>
      </c>
      <c r="AS4" s="39">
        <f t="shared" si="0"/>
        <v>42779</v>
      </c>
      <c r="AT4" s="39">
        <f t="shared" si="0"/>
        <v>42786</v>
      </c>
      <c r="AU4" s="43">
        <f t="shared" si="0"/>
        <v>42793</v>
      </c>
      <c r="AV4" s="38">
        <f t="shared" si="0"/>
        <v>42800</v>
      </c>
      <c r="AW4" s="39">
        <f t="shared" si="0"/>
        <v>42807</v>
      </c>
      <c r="AX4" s="39">
        <f t="shared" ref="AX4:BP4" si="1">AW5+1</f>
        <v>42814</v>
      </c>
      <c r="AY4" s="40">
        <f t="shared" si="1"/>
        <v>42821</v>
      </c>
      <c r="AZ4" s="46">
        <f t="shared" si="1"/>
        <v>42828</v>
      </c>
      <c r="BA4" s="39">
        <f t="shared" si="1"/>
        <v>42835</v>
      </c>
      <c r="BB4" s="39">
        <f t="shared" si="1"/>
        <v>42842</v>
      </c>
      <c r="BC4" s="43">
        <f t="shared" si="1"/>
        <v>42849</v>
      </c>
      <c r="BD4" s="38">
        <f t="shared" si="1"/>
        <v>42856</v>
      </c>
      <c r="BE4" s="39">
        <f t="shared" si="1"/>
        <v>42863</v>
      </c>
      <c r="BF4" s="39">
        <f t="shared" si="1"/>
        <v>42870</v>
      </c>
      <c r="BG4" s="39">
        <f t="shared" si="1"/>
        <v>42877</v>
      </c>
      <c r="BH4" s="40">
        <f t="shared" si="1"/>
        <v>42884</v>
      </c>
      <c r="BI4" s="46">
        <f t="shared" si="1"/>
        <v>42891</v>
      </c>
      <c r="BJ4" s="39">
        <f t="shared" si="1"/>
        <v>42898</v>
      </c>
      <c r="BK4" s="39">
        <f t="shared" si="1"/>
        <v>42905</v>
      </c>
      <c r="BL4" s="43">
        <f t="shared" si="1"/>
        <v>42912</v>
      </c>
      <c r="BM4" s="38">
        <f t="shared" si="1"/>
        <v>42919</v>
      </c>
      <c r="BN4" s="39">
        <f t="shared" si="1"/>
        <v>42926</v>
      </c>
      <c r="BO4" s="39">
        <f t="shared" si="1"/>
        <v>42933</v>
      </c>
      <c r="BP4" s="40">
        <f t="shared" si="1"/>
        <v>42940</v>
      </c>
    </row>
    <row r="5" spans="1:68">
      <c r="B5" s="22" t="s">
        <v>108</v>
      </c>
      <c r="C5" s="23"/>
      <c r="D5" s="23"/>
      <c r="E5" s="24"/>
      <c r="F5" s="25" t="s">
        <v>10</v>
      </c>
      <c r="G5" s="26"/>
      <c r="H5" s="26"/>
      <c r="I5" s="27"/>
      <c r="J5" s="35" t="s">
        <v>65</v>
      </c>
      <c r="K5" s="35" t="s">
        <v>66</v>
      </c>
      <c r="L5" s="35" t="s">
        <v>67</v>
      </c>
      <c r="M5" s="35" t="s">
        <v>66</v>
      </c>
      <c r="N5" s="35" t="s">
        <v>68</v>
      </c>
      <c r="O5" s="35" t="s">
        <v>7</v>
      </c>
      <c r="P5" s="50" t="s">
        <v>69</v>
      </c>
      <c r="Q5" s="38">
        <f>+Q4+6</f>
        <v>42589</v>
      </c>
      <c r="R5" s="39">
        <f>+R4+6</f>
        <v>42596</v>
      </c>
      <c r="S5" s="39">
        <f t="shared" ref="S5:Z5" si="2">+S4+6</f>
        <v>42603</v>
      </c>
      <c r="T5" s="39">
        <f t="shared" si="2"/>
        <v>42610</v>
      </c>
      <c r="U5" s="43">
        <f t="shared" si="2"/>
        <v>42617</v>
      </c>
      <c r="V5" s="38">
        <f t="shared" si="2"/>
        <v>42624</v>
      </c>
      <c r="W5" s="39">
        <f t="shared" si="2"/>
        <v>42631</v>
      </c>
      <c r="X5" s="39">
        <f t="shared" si="2"/>
        <v>42638</v>
      </c>
      <c r="Y5" s="40">
        <f t="shared" si="2"/>
        <v>42645</v>
      </c>
      <c r="Z5" s="46">
        <f t="shared" si="2"/>
        <v>42652</v>
      </c>
      <c r="AA5" s="39">
        <f t="shared" ref="AA5" si="3">+AA4+6</f>
        <v>42659</v>
      </c>
      <c r="AB5" s="39">
        <f t="shared" ref="AB5" si="4">+AB4+6</f>
        <v>42666</v>
      </c>
      <c r="AC5" s="39">
        <f t="shared" ref="AC5" si="5">+AC4+6</f>
        <v>42673</v>
      </c>
      <c r="AD5" s="43">
        <f t="shared" ref="AD5" si="6">+AD4+6</f>
        <v>42680</v>
      </c>
      <c r="AE5" s="38">
        <f t="shared" ref="AE5" si="7">+AE4+6</f>
        <v>42687</v>
      </c>
      <c r="AF5" s="39">
        <f t="shared" ref="AF5" si="8">+AF4+6</f>
        <v>42694</v>
      </c>
      <c r="AG5" s="39">
        <f t="shared" ref="AG5" si="9">+AG4+6</f>
        <v>42701</v>
      </c>
      <c r="AH5" s="40">
        <f t="shared" ref="AH5" si="10">+AH4+6</f>
        <v>42708</v>
      </c>
      <c r="AI5" s="46">
        <f t="shared" ref="AI5" si="11">+AI4+6</f>
        <v>42715</v>
      </c>
      <c r="AJ5" s="39">
        <f t="shared" ref="AJ5" si="12">+AJ4+6</f>
        <v>42722</v>
      </c>
      <c r="AK5" s="39">
        <f t="shared" ref="AK5" si="13">+AK4+6</f>
        <v>42729</v>
      </c>
      <c r="AL5" s="43">
        <f t="shared" ref="AL5" si="14">+AL4+6</f>
        <v>42736</v>
      </c>
      <c r="AM5" s="38">
        <f t="shared" ref="AM5" si="15">+AM4+6</f>
        <v>42743</v>
      </c>
      <c r="AN5" s="39">
        <f t="shared" ref="AN5" si="16">+AN4+6</f>
        <v>42750</v>
      </c>
      <c r="AO5" s="39">
        <f t="shared" ref="AO5" si="17">+AO4+6</f>
        <v>42757</v>
      </c>
      <c r="AP5" s="39">
        <f t="shared" ref="AP5" si="18">+AP4+6</f>
        <v>42764</v>
      </c>
      <c r="AQ5" s="40">
        <f t="shared" ref="AQ5" si="19">+AQ4+6</f>
        <v>42771</v>
      </c>
      <c r="AR5" s="46">
        <f t="shared" ref="AR5" si="20">+AR4+6</f>
        <v>42778</v>
      </c>
      <c r="AS5" s="39">
        <f t="shared" ref="AS5" si="21">+AS4+6</f>
        <v>42785</v>
      </c>
      <c r="AT5" s="39">
        <f t="shared" ref="AT5" si="22">+AT4+6</f>
        <v>42792</v>
      </c>
      <c r="AU5" s="43">
        <f t="shared" ref="AU5" si="23">+AU4+6</f>
        <v>42799</v>
      </c>
      <c r="AV5" s="38">
        <f t="shared" ref="AV5" si="24">+AV4+6</f>
        <v>42806</v>
      </c>
      <c r="AW5" s="39">
        <f t="shared" ref="AW5" si="25">+AW4+6</f>
        <v>42813</v>
      </c>
      <c r="AX5" s="39">
        <f t="shared" ref="AX5" si="26">+AX4+6</f>
        <v>42820</v>
      </c>
      <c r="AY5" s="40">
        <f t="shared" ref="AY5" si="27">+AY4+6</f>
        <v>42827</v>
      </c>
      <c r="AZ5" s="46">
        <f t="shared" ref="AZ5" si="28">+AZ4+6</f>
        <v>42834</v>
      </c>
      <c r="BA5" s="39">
        <f t="shared" ref="BA5" si="29">+BA4+6</f>
        <v>42841</v>
      </c>
      <c r="BB5" s="39">
        <f t="shared" ref="BB5" si="30">+BB4+6</f>
        <v>42848</v>
      </c>
      <c r="BC5" s="43">
        <f t="shared" ref="BC5" si="31">+BC4+6</f>
        <v>42855</v>
      </c>
      <c r="BD5" s="38">
        <f t="shared" ref="BD5" si="32">+BD4+6</f>
        <v>42862</v>
      </c>
      <c r="BE5" s="39">
        <f t="shared" ref="BE5" si="33">+BE4+6</f>
        <v>42869</v>
      </c>
      <c r="BF5" s="39">
        <f t="shared" ref="BF5" si="34">+BF4+6</f>
        <v>42876</v>
      </c>
      <c r="BG5" s="39">
        <f t="shared" ref="BG5" si="35">+BG4+6</f>
        <v>42883</v>
      </c>
      <c r="BH5" s="40">
        <f t="shared" ref="BH5" si="36">+BH4+6</f>
        <v>42890</v>
      </c>
      <c r="BI5" s="46">
        <f t="shared" ref="BI5" si="37">+BI4+6</f>
        <v>42897</v>
      </c>
      <c r="BJ5" s="39">
        <f t="shared" ref="BJ5" si="38">+BJ4+6</f>
        <v>42904</v>
      </c>
      <c r="BK5" s="39">
        <f t="shared" ref="BK5" si="39">+BK4+6</f>
        <v>42911</v>
      </c>
      <c r="BL5" s="43">
        <f t="shared" ref="BL5" si="40">+BL4+6</f>
        <v>42918</v>
      </c>
      <c r="BM5" s="38">
        <f t="shared" ref="BM5" si="41">+BM4+6</f>
        <v>42925</v>
      </c>
      <c r="BN5" s="39">
        <f t="shared" ref="BN5" si="42">+BN4+6</f>
        <v>42932</v>
      </c>
      <c r="BO5" s="39">
        <f t="shared" ref="BO5:BP5" si="43">+BO4+6</f>
        <v>42939</v>
      </c>
      <c r="BP5" s="40">
        <f t="shared" si="43"/>
        <v>42946</v>
      </c>
    </row>
    <row r="6" spans="1:68">
      <c r="B6" s="19">
        <v>1</v>
      </c>
      <c r="C6" s="20"/>
      <c r="D6" s="20"/>
      <c r="E6" s="21"/>
      <c r="F6" s="28" t="s">
        <v>107</v>
      </c>
      <c r="G6" s="29"/>
      <c r="H6" s="29"/>
      <c r="I6" s="30"/>
      <c r="J6" s="36"/>
      <c r="K6" s="53"/>
      <c r="L6" s="53"/>
      <c r="M6" s="53"/>
      <c r="N6" s="53"/>
      <c r="O6" s="11"/>
      <c r="P6" s="28"/>
      <c r="Q6" s="19"/>
      <c r="R6" s="20"/>
      <c r="S6" s="20"/>
      <c r="T6" s="20"/>
      <c r="U6" s="44"/>
      <c r="V6" s="19"/>
      <c r="W6" s="20"/>
      <c r="X6" s="20"/>
      <c r="Y6" s="21"/>
      <c r="Z6" s="47"/>
      <c r="AA6" s="20"/>
      <c r="AB6" s="20"/>
      <c r="AC6" s="20"/>
      <c r="AD6" s="44"/>
      <c r="AE6" s="19"/>
      <c r="AF6" s="20"/>
      <c r="AG6" s="20"/>
      <c r="AH6" s="21"/>
      <c r="AI6" s="47"/>
      <c r="AJ6" s="20"/>
      <c r="AK6" s="20"/>
      <c r="AL6" s="44"/>
      <c r="AM6" s="19"/>
      <c r="AN6" s="20"/>
      <c r="AO6" s="20"/>
      <c r="AP6" s="20"/>
      <c r="AQ6" s="21"/>
      <c r="AR6" s="47"/>
      <c r="AS6" s="20"/>
      <c r="AT6" s="20"/>
      <c r="AU6" s="44"/>
      <c r="AV6" s="19"/>
      <c r="AW6" s="20"/>
      <c r="AX6" s="20"/>
      <c r="AY6" s="21"/>
      <c r="AZ6" s="47"/>
      <c r="BA6" s="20"/>
      <c r="BB6" s="20"/>
      <c r="BC6" s="44"/>
      <c r="BD6" s="19"/>
      <c r="BE6" s="20"/>
      <c r="BF6" s="20"/>
      <c r="BG6" s="20"/>
      <c r="BH6" s="21"/>
      <c r="BI6" s="47"/>
      <c r="BJ6" s="20"/>
      <c r="BK6" s="20"/>
      <c r="BL6" s="44"/>
      <c r="BM6" s="19"/>
      <c r="BN6" s="20"/>
      <c r="BO6" s="20"/>
      <c r="BP6" s="21"/>
    </row>
    <row r="7" spans="1:68">
      <c r="B7" s="16"/>
      <c r="C7" s="17">
        <v>1</v>
      </c>
      <c r="D7" s="17"/>
      <c r="E7" s="18"/>
      <c r="F7" s="31"/>
      <c r="G7" s="32" t="s">
        <v>205</v>
      </c>
      <c r="H7" s="32"/>
      <c r="I7" s="33"/>
      <c r="J7" s="37" t="s">
        <v>110</v>
      </c>
      <c r="K7" s="54"/>
      <c r="L7" s="54"/>
      <c r="M7" s="54"/>
      <c r="N7" s="54"/>
      <c r="O7" s="37"/>
      <c r="P7" s="31"/>
      <c r="Q7" s="16"/>
      <c r="R7" s="17"/>
      <c r="S7" s="17"/>
      <c r="T7" s="17"/>
      <c r="U7" s="45"/>
      <c r="V7" s="16"/>
      <c r="W7" s="17"/>
      <c r="X7" s="17"/>
      <c r="Y7" s="18"/>
      <c r="Z7" s="48"/>
      <c r="AA7" s="17"/>
      <c r="AB7" s="17"/>
      <c r="AC7" s="17"/>
      <c r="AD7" s="45"/>
      <c r="AE7" s="16"/>
      <c r="AF7" s="17"/>
      <c r="AG7" s="17"/>
      <c r="AH7" s="18"/>
      <c r="AI7" s="48"/>
      <c r="AJ7" s="17"/>
      <c r="AK7" s="17"/>
      <c r="AL7" s="45"/>
      <c r="AM7" s="16"/>
      <c r="AN7" s="17"/>
      <c r="AO7" s="17"/>
      <c r="AP7" s="17"/>
      <c r="AQ7" s="18"/>
      <c r="AR7" s="48"/>
      <c r="AS7" s="17"/>
      <c r="AT7" s="17"/>
      <c r="AU7" s="45"/>
      <c r="AV7" s="16"/>
      <c r="AW7" s="17"/>
      <c r="AX7" s="17"/>
      <c r="AY7" s="18"/>
      <c r="AZ7" s="48"/>
      <c r="BA7" s="17"/>
      <c r="BB7" s="17"/>
      <c r="BC7" s="45"/>
      <c r="BD7" s="16"/>
      <c r="BE7" s="17"/>
      <c r="BF7" s="17"/>
      <c r="BG7" s="17"/>
      <c r="BH7" s="18"/>
      <c r="BI7" s="48"/>
      <c r="BJ7" s="17"/>
      <c r="BK7" s="17"/>
      <c r="BL7" s="45"/>
      <c r="BM7" s="16"/>
      <c r="BN7" s="17"/>
      <c r="BO7" s="17"/>
      <c r="BP7" s="18"/>
    </row>
    <row r="8" spans="1:68">
      <c r="B8" s="16"/>
      <c r="C8" s="17"/>
      <c r="D8" s="17">
        <v>1</v>
      </c>
      <c r="E8" s="18"/>
      <c r="F8" s="31"/>
      <c r="G8" s="32"/>
      <c r="H8" s="32" t="s">
        <v>206</v>
      </c>
      <c r="I8" s="33"/>
      <c r="J8" s="37" t="s">
        <v>110</v>
      </c>
      <c r="K8" s="54">
        <v>42590</v>
      </c>
      <c r="L8" s="54">
        <v>42601</v>
      </c>
      <c r="M8" s="54">
        <v>42590</v>
      </c>
      <c r="N8" s="54">
        <v>42601</v>
      </c>
      <c r="O8" s="37" t="s">
        <v>200</v>
      </c>
      <c r="P8" s="31"/>
      <c r="Q8" s="16"/>
      <c r="R8" s="17"/>
      <c r="S8" s="17"/>
      <c r="T8" s="17"/>
      <c r="U8" s="45"/>
      <c r="V8" s="16"/>
      <c r="W8" s="17"/>
      <c r="X8" s="17"/>
      <c r="Y8" s="18"/>
      <c r="Z8" s="48"/>
      <c r="AA8" s="17"/>
      <c r="AB8" s="17"/>
      <c r="AC8" s="17"/>
      <c r="AD8" s="45"/>
      <c r="AE8" s="16"/>
      <c r="AF8" s="17"/>
      <c r="AG8" s="17"/>
      <c r="AH8" s="18"/>
      <c r="AI8" s="48"/>
      <c r="AJ8" s="17"/>
      <c r="AK8" s="17"/>
      <c r="AL8" s="45"/>
      <c r="AM8" s="16"/>
      <c r="AN8" s="17"/>
      <c r="AO8" s="17"/>
      <c r="AP8" s="17"/>
      <c r="AQ8" s="18"/>
      <c r="AR8" s="48"/>
      <c r="AS8" s="17"/>
      <c r="AT8" s="17"/>
      <c r="AU8" s="45"/>
      <c r="AV8" s="16"/>
      <c r="AW8" s="17"/>
      <c r="AX8" s="17"/>
      <c r="AY8" s="18"/>
      <c r="AZ8" s="48"/>
      <c r="BA8" s="17"/>
      <c r="BB8" s="17"/>
      <c r="BC8" s="45"/>
      <c r="BD8" s="16"/>
      <c r="BE8" s="17"/>
      <c r="BF8" s="17"/>
      <c r="BG8" s="17"/>
      <c r="BH8" s="18"/>
      <c r="BI8" s="48"/>
      <c r="BJ8" s="17"/>
      <c r="BK8" s="17"/>
      <c r="BL8" s="45"/>
      <c r="BM8" s="16"/>
      <c r="BN8" s="17"/>
      <c r="BO8" s="17"/>
      <c r="BP8" s="18"/>
    </row>
    <row r="9" spans="1:68">
      <c r="B9" s="16"/>
      <c r="C9" s="17"/>
      <c r="D9" s="17">
        <v>2</v>
      </c>
      <c r="E9" s="18"/>
      <c r="F9" s="31"/>
      <c r="G9" s="32"/>
      <c r="H9" s="32" t="s">
        <v>77</v>
      </c>
      <c r="I9" s="33"/>
      <c r="J9" s="37" t="s">
        <v>110</v>
      </c>
      <c r="K9" s="55">
        <v>42604</v>
      </c>
      <c r="L9" s="55">
        <v>42617</v>
      </c>
      <c r="M9" s="55">
        <v>42604</v>
      </c>
      <c r="N9" s="55">
        <v>42607</v>
      </c>
      <c r="O9" s="37" t="s">
        <v>220</v>
      </c>
      <c r="P9" s="31"/>
      <c r="Q9" s="16"/>
      <c r="R9" s="17"/>
      <c r="S9" s="17"/>
      <c r="T9" s="17"/>
      <c r="U9" s="45"/>
      <c r="V9" s="16"/>
      <c r="W9" s="17"/>
      <c r="X9" s="17"/>
      <c r="Y9" s="18"/>
      <c r="Z9" s="48"/>
      <c r="AA9" s="17"/>
      <c r="AB9" s="17"/>
      <c r="AC9" s="17"/>
      <c r="AD9" s="45"/>
      <c r="AE9" s="16"/>
      <c r="AF9" s="17"/>
      <c r="AG9" s="17"/>
      <c r="AH9" s="18"/>
      <c r="AI9" s="48"/>
      <c r="AJ9" s="17"/>
      <c r="AK9" s="17"/>
      <c r="AL9" s="45"/>
      <c r="AM9" s="16"/>
      <c r="AN9" s="17"/>
      <c r="AO9" s="17"/>
      <c r="AP9" s="17"/>
      <c r="AQ9" s="18"/>
      <c r="AR9" s="48"/>
      <c r="AS9" s="17"/>
      <c r="AT9" s="17"/>
      <c r="AU9" s="45"/>
      <c r="AV9" s="16"/>
      <c r="AW9" s="17"/>
      <c r="AX9" s="17"/>
      <c r="AY9" s="18"/>
      <c r="AZ9" s="48"/>
      <c r="BA9" s="17"/>
      <c r="BB9" s="17"/>
      <c r="BC9" s="45"/>
      <c r="BD9" s="16"/>
      <c r="BE9" s="17"/>
      <c r="BF9" s="17"/>
      <c r="BG9" s="17"/>
      <c r="BH9" s="18"/>
      <c r="BI9" s="48"/>
      <c r="BJ9" s="17"/>
      <c r="BK9" s="17"/>
      <c r="BL9" s="45"/>
      <c r="BM9" s="16"/>
      <c r="BN9" s="17"/>
      <c r="BO9" s="17"/>
      <c r="BP9" s="18"/>
    </row>
    <row r="10" spans="1:68">
      <c r="B10" s="16"/>
      <c r="C10" s="17"/>
      <c r="D10" s="17"/>
      <c r="E10" s="18"/>
      <c r="F10" s="31"/>
      <c r="G10" s="67" t="s">
        <v>221</v>
      </c>
      <c r="H10" s="32"/>
      <c r="I10" s="33"/>
      <c r="J10" s="61" t="s">
        <v>260</v>
      </c>
      <c r="K10" s="55">
        <v>42618</v>
      </c>
      <c r="L10" s="55">
        <v>42631</v>
      </c>
      <c r="M10" s="55">
        <v>42618</v>
      </c>
      <c r="N10" s="55">
        <v>42631</v>
      </c>
      <c r="O10" s="61" t="s">
        <v>200</v>
      </c>
      <c r="P10" s="31" t="s">
        <v>261</v>
      </c>
      <c r="Q10" s="16"/>
      <c r="R10" s="17"/>
      <c r="S10" s="17"/>
      <c r="T10" s="17"/>
      <c r="U10" s="45"/>
      <c r="V10" s="16"/>
      <c r="W10" s="17"/>
      <c r="X10" s="17"/>
      <c r="Y10" s="18"/>
      <c r="Z10" s="48"/>
      <c r="AA10" s="17"/>
      <c r="AB10" s="17"/>
      <c r="AC10" s="17"/>
      <c r="AD10" s="45"/>
      <c r="AE10" s="16"/>
      <c r="AF10" s="17"/>
      <c r="AG10" s="17"/>
      <c r="AH10" s="18"/>
      <c r="AI10" s="48"/>
      <c r="AJ10" s="17"/>
      <c r="AK10" s="17"/>
      <c r="AL10" s="45"/>
      <c r="AM10" s="16"/>
      <c r="AN10" s="17"/>
      <c r="AO10" s="17"/>
      <c r="AP10" s="17"/>
      <c r="AQ10" s="18"/>
      <c r="AR10" s="48"/>
      <c r="AS10" s="17"/>
      <c r="AT10" s="17"/>
      <c r="AU10" s="45"/>
      <c r="AV10" s="16"/>
      <c r="AW10" s="17"/>
      <c r="AX10" s="17"/>
      <c r="AY10" s="18"/>
      <c r="AZ10" s="48"/>
      <c r="BA10" s="17"/>
      <c r="BB10" s="17"/>
      <c r="BC10" s="45"/>
      <c r="BD10" s="16"/>
      <c r="BE10" s="17"/>
      <c r="BF10" s="17"/>
      <c r="BG10" s="17"/>
      <c r="BH10" s="18"/>
      <c r="BI10" s="48"/>
      <c r="BJ10" s="17"/>
      <c r="BK10" s="17"/>
      <c r="BL10" s="45"/>
      <c r="BM10" s="16"/>
      <c r="BN10" s="17"/>
      <c r="BO10" s="17"/>
      <c r="BP10" s="18"/>
    </row>
    <row r="11" spans="1:68">
      <c r="B11" s="16"/>
      <c r="C11" s="17">
        <v>2</v>
      </c>
      <c r="D11" s="17"/>
      <c r="E11" s="18"/>
      <c r="F11" s="31"/>
      <c r="G11" s="32" t="s">
        <v>128</v>
      </c>
      <c r="H11" s="32"/>
      <c r="I11" s="33"/>
      <c r="J11" s="37" t="s">
        <v>110</v>
      </c>
      <c r="K11" s="55">
        <v>42590</v>
      </c>
      <c r="L11" s="55">
        <v>42601</v>
      </c>
      <c r="M11" s="55">
        <v>42590</v>
      </c>
      <c r="N11" s="55">
        <v>42601</v>
      </c>
      <c r="O11" s="61" t="s">
        <v>200</v>
      </c>
      <c r="P11" s="31"/>
      <c r="Q11" s="16"/>
      <c r="R11" s="17"/>
      <c r="S11" s="17"/>
      <c r="T11" s="17"/>
      <c r="U11" s="45"/>
      <c r="V11" s="16"/>
      <c r="W11" s="17"/>
      <c r="X11" s="17"/>
      <c r="Y11" s="18"/>
      <c r="Z11" s="48"/>
      <c r="AA11" s="17"/>
      <c r="AB11" s="17"/>
      <c r="AC11" s="17"/>
      <c r="AD11" s="45"/>
      <c r="AE11" s="16"/>
      <c r="AF11" s="17"/>
      <c r="AG11" s="17"/>
      <c r="AH11" s="18"/>
      <c r="AI11" s="48"/>
      <c r="AJ11" s="17"/>
      <c r="AK11" s="17"/>
      <c r="AL11" s="45"/>
      <c r="AM11" s="16"/>
      <c r="AN11" s="17"/>
      <c r="AO11" s="17"/>
      <c r="AP11" s="17"/>
      <c r="AQ11" s="18"/>
      <c r="AR11" s="48"/>
      <c r="AS11" s="17"/>
      <c r="AT11" s="17"/>
      <c r="AU11" s="45"/>
      <c r="AV11" s="16"/>
      <c r="AW11" s="17"/>
      <c r="AX11" s="17"/>
      <c r="AY11" s="18"/>
      <c r="AZ11" s="48"/>
      <c r="BA11" s="17"/>
      <c r="BB11" s="17"/>
      <c r="BC11" s="45"/>
      <c r="BD11" s="16"/>
      <c r="BE11" s="17"/>
      <c r="BF11" s="17"/>
      <c r="BG11" s="17"/>
      <c r="BH11" s="18"/>
      <c r="BI11" s="48"/>
      <c r="BJ11" s="17"/>
      <c r="BK11" s="17"/>
      <c r="BL11" s="45"/>
      <c r="BM11" s="16"/>
      <c r="BN11" s="17"/>
      <c r="BO11" s="17"/>
      <c r="BP11" s="18"/>
    </row>
    <row r="12" spans="1:68">
      <c r="B12" s="16"/>
      <c r="C12" s="17">
        <v>3</v>
      </c>
      <c r="D12" s="17"/>
      <c r="E12" s="18"/>
      <c r="F12" s="31"/>
      <c r="G12" s="32" t="s">
        <v>70</v>
      </c>
      <c r="H12" s="32"/>
      <c r="I12" s="33"/>
      <c r="J12" s="37" t="s">
        <v>110</v>
      </c>
      <c r="K12" s="55"/>
      <c r="L12" s="55"/>
      <c r="M12" s="55"/>
      <c r="N12" s="55"/>
      <c r="O12" s="37"/>
      <c r="P12" s="31"/>
      <c r="Q12" s="16"/>
      <c r="R12" s="17"/>
      <c r="S12" s="17"/>
      <c r="T12" s="17"/>
      <c r="U12" s="45"/>
      <c r="V12" s="16"/>
      <c r="W12" s="17"/>
      <c r="X12" s="17"/>
      <c r="Y12" s="18"/>
      <c r="Z12" s="48"/>
      <c r="AA12" s="17"/>
      <c r="AB12" s="17"/>
      <c r="AC12" s="17"/>
      <c r="AD12" s="45"/>
      <c r="AE12" s="16"/>
      <c r="AF12" s="17"/>
      <c r="AG12" s="17"/>
      <c r="AH12" s="18"/>
      <c r="AI12" s="48"/>
      <c r="AJ12" s="17"/>
      <c r="AK12" s="17"/>
      <c r="AL12" s="45"/>
      <c r="AM12" s="16"/>
      <c r="AN12" s="17"/>
      <c r="AO12" s="17"/>
      <c r="AP12" s="17"/>
      <c r="AQ12" s="18"/>
      <c r="AR12" s="48"/>
      <c r="AS12" s="17"/>
      <c r="AT12" s="17"/>
      <c r="AU12" s="45"/>
      <c r="AV12" s="16"/>
      <c r="AW12" s="17"/>
      <c r="AX12" s="17"/>
      <c r="AY12" s="18"/>
      <c r="AZ12" s="48"/>
      <c r="BA12" s="17"/>
      <c r="BB12" s="17"/>
      <c r="BC12" s="45"/>
      <c r="BD12" s="16"/>
      <c r="BE12" s="17"/>
      <c r="BF12" s="17"/>
      <c r="BG12" s="17"/>
      <c r="BH12" s="18"/>
      <c r="BI12" s="48"/>
      <c r="BJ12" s="17"/>
      <c r="BK12" s="17"/>
      <c r="BL12" s="45"/>
      <c r="BM12" s="16"/>
      <c r="BN12" s="17"/>
      <c r="BO12" s="17"/>
      <c r="BP12" s="18"/>
    </row>
    <row r="13" spans="1:68">
      <c r="B13" s="16"/>
      <c r="C13" s="17"/>
      <c r="D13" s="17">
        <v>1</v>
      </c>
      <c r="E13" s="18"/>
      <c r="F13" s="31"/>
      <c r="G13" s="32"/>
      <c r="H13" s="32" t="s">
        <v>71</v>
      </c>
      <c r="I13" s="33"/>
      <c r="J13" s="37" t="s">
        <v>110</v>
      </c>
      <c r="K13" s="55">
        <v>42604</v>
      </c>
      <c r="L13" s="55">
        <v>42617</v>
      </c>
      <c r="M13" s="55">
        <v>42604</v>
      </c>
      <c r="N13" s="55">
        <v>42618</v>
      </c>
      <c r="O13" s="37" t="s">
        <v>200</v>
      </c>
      <c r="P13" s="31"/>
      <c r="Q13" s="16"/>
      <c r="R13" s="17"/>
      <c r="S13" s="17"/>
      <c r="T13" s="17"/>
      <c r="U13" s="45"/>
      <c r="V13" s="16"/>
      <c r="W13" s="17"/>
      <c r="X13" s="17"/>
      <c r="Y13" s="18"/>
      <c r="Z13" s="48"/>
      <c r="AA13" s="17"/>
      <c r="AB13" s="17"/>
      <c r="AC13" s="17"/>
      <c r="AD13" s="45"/>
      <c r="AE13" s="16"/>
      <c r="AF13" s="17"/>
      <c r="AG13" s="17"/>
      <c r="AH13" s="18"/>
      <c r="AI13" s="48"/>
      <c r="AJ13" s="17"/>
      <c r="AK13" s="17"/>
      <c r="AL13" s="45"/>
      <c r="AM13" s="16"/>
      <c r="AN13" s="17"/>
      <c r="AO13" s="17"/>
      <c r="AP13" s="17"/>
      <c r="AQ13" s="18"/>
      <c r="AR13" s="48"/>
      <c r="AS13" s="17"/>
      <c r="AT13" s="17"/>
      <c r="AU13" s="45"/>
      <c r="AV13" s="16"/>
      <c r="AW13" s="17"/>
      <c r="AX13" s="17"/>
      <c r="AY13" s="18"/>
      <c r="AZ13" s="48"/>
      <c r="BA13" s="17"/>
      <c r="BB13" s="17"/>
      <c r="BC13" s="45"/>
      <c r="BD13" s="16"/>
      <c r="BE13" s="17"/>
      <c r="BF13" s="17"/>
      <c r="BG13" s="17"/>
      <c r="BH13" s="18"/>
      <c r="BI13" s="48"/>
      <c r="BJ13" s="17"/>
      <c r="BK13" s="17"/>
      <c r="BL13" s="45"/>
      <c r="BM13" s="16"/>
      <c r="BN13" s="17"/>
      <c r="BO13" s="17"/>
      <c r="BP13" s="18"/>
    </row>
    <row r="14" spans="1:68">
      <c r="B14" s="16"/>
      <c r="C14" s="17"/>
      <c r="D14" s="17">
        <v>2</v>
      </c>
      <c r="E14" s="18"/>
      <c r="F14" s="31"/>
      <c r="G14" s="32"/>
      <c r="H14" s="32" t="s">
        <v>72</v>
      </c>
      <c r="I14" s="33"/>
      <c r="J14" s="37" t="s">
        <v>110</v>
      </c>
      <c r="K14" s="55">
        <v>42597</v>
      </c>
      <c r="L14" s="55">
        <v>42610</v>
      </c>
      <c r="M14" s="55">
        <v>42597</v>
      </c>
      <c r="N14" s="55"/>
      <c r="O14" s="37" t="s">
        <v>201</v>
      </c>
      <c r="P14" s="31"/>
      <c r="Q14" s="16"/>
      <c r="R14" s="17"/>
      <c r="S14" s="17"/>
      <c r="T14" s="17"/>
      <c r="U14" s="45"/>
      <c r="V14" s="16"/>
      <c r="W14" s="17"/>
      <c r="X14" s="17"/>
      <c r="Y14" s="18"/>
      <c r="Z14" s="48"/>
      <c r="AA14" s="17"/>
      <c r="AB14" s="17"/>
      <c r="AC14" s="17"/>
      <c r="AD14" s="45"/>
      <c r="AE14" s="16"/>
      <c r="AF14" s="17"/>
      <c r="AG14" s="17"/>
      <c r="AH14" s="18"/>
      <c r="AI14" s="48"/>
      <c r="AJ14" s="17"/>
      <c r="AK14" s="17"/>
      <c r="AL14" s="45"/>
      <c r="AM14" s="16"/>
      <c r="AN14" s="17"/>
      <c r="AO14" s="17"/>
      <c r="AP14" s="17"/>
      <c r="AQ14" s="18"/>
      <c r="AR14" s="48"/>
      <c r="AS14" s="17"/>
      <c r="AT14" s="17"/>
      <c r="AU14" s="45"/>
      <c r="AV14" s="16"/>
      <c r="AW14" s="17"/>
      <c r="AX14" s="17"/>
      <c r="AY14" s="18"/>
      <c r="AZ14" s="48"/>
      <c r="BA14" s="17"/>
      <c r="BB14" s="17"/>
      <c r="BC14" s="45"/>
      <c r="BD14" s="16"/>
      <c r="BE14" s="17"/>
      <c r="BF14" s="17"/>
      <c r="BG14" s="17"/>
      <c r="BH14" s="18"/>
      <c r="BI14" s="48"/>
      <c r="BJ14" s="17"/>
      <c r="BK14" s="17"/>
      <c r="BL14" s="45"/>
      <c r="BM14" s="16"/>
      <c r="BN14" s="17"/>
      <c r="BO14" s="17"/>
      <c r="BP14" s="18"/>
    </row>
    <row r="15" spans="1:68">
      <c r="B15" s="16"/>
      <c r="C15" s="17"/>
      <c r="D15" s="17">
        <v>3</v>
      </c>
      <c r="E15" s="18"/>
      <c r="F15" s="31"/>
      <c r="G15" s="32"/>
      <c r="H15" s="32" t="s">
        <v>73</v>
      </c>
      <c r="I15" s="33"/>
      <c r="J15" s="37" t="s">
        <v>110</v>
      </c>
      <c r="K15" s="55"/>
      <c r="L15" s="55"/>
      <c r="M15" s="55"/>
      <c r="N15" s="55"/>
      <c r="O15" s="37"/>
      <c r="P15" s="31"/>
      <c r="Q15" s="16"/>
      <c r="R15" s="17"/>
      <c r="S15" s="17"/>
      <c r="T15" s="17"/>
      <c r="U15" s="45"/>
      <c r="V15" s="16"/>
      <c r="W15" s="17"/>
      <c r="X15" s="17"/>
      <c r="Y15" s="18"/>
      <c r="Z15" s="48"/>
      <c r="AA15" s="17"/>
      <c r="AB15" s="17"/>
      <c r="AC15" s="17"/>
      <c r="AD15" s="45"/>
      <c r="AE15" s="16"/>
      <c r="AF15" s="17"/>
      <c r="AG15" s="17"/>
      <c r="AH15" s="18"/>
      <c r="AI15" s="48"/>
      <c r="AJ15" s="17"/>
      <c r="AK15" s="17"/>
      <c r="AL15" s="45"/>
      <c r="AM15" s="16"/>
      <c r="AN15" s="17"/>
      <c r="AO15" s="17"/>
      <c r="AP15" s="17"/>
      <c r="AQ15" s="18"/>
      <c r="AR15" s="48"/>
      <c r="AS15" s="17"/>
      <c r="AT15" s="17"/>
      <c r="AU15" s="45"/>
      <c r="AV15" s="16"/>
      <c r="AW15" s="17"/>
      <c r="AX15" s="17"/>
      <c r="AY15" s="18"/>
      <c r="AZ15" s="48"/>
      <c r="BA15" s="17"/>
      <c r="BB15" s="17"/>
      <c r="BC15" s="45"/>
      <c r="BD15" s="16"/>
      <c r="BE15" s="17"/>
      <c r="BF15" s="17"/>
      <c r="BG15" s="17"/>
      <c r="BH15" s="18"/>
      <c r="BI15" s="48"/>
      <c r="BJ15" s="17"/>
      <c r="BK15" s="17"/>
      <c r="BL15" s="45"/>
      <c r="BM15" s="16"/>
      <c r="BN15" s="17"/>
      <c r="BO15" s="17"/>
      <c r="BP15" s="18"/>
    </row>
    <row r="16" spans="1:68">
      <c r="B16" s="16"/>
      <c r="C16" s="17"/>
      <c r="D16" s="17"/>
      <c r="E16" s="18">
        <v>1</v>
      </c>
      <c r="F16" s="31"/>
      <c r="G16" s="32"/>
      <c r="H16" s="32"/>
      <c r="I16" s="33" t="s">
        <v>74</v>
      </c>
      <c r="J16" s="37" t="s">
        <v>110</v>
      </c>
      <c r="K16" s="55">
        <v>42604</v>
      </c>
      <c r="L16" s="55">
        <v>42624</v>
      </c>
      <c r="M16" s="55">
        <v>42604</v>
      </c>
      <c r="N16" s="55">
        <v>42629</v>
      </c>
      <c r="O16" s="52" t="s">
        <v>200</v>
      </c>
      <c r="P16" s="31"/>
      <c r="Q16" s="16"/>
      <c r="R16" s="17"/>
      <c r="S16" s="17"/>
      <c r="T16" s="17"/>
      <c r="U16" s="45"/>
      <c r="V16" s="16"/>
      <c r="W16" s="17"/>
      <c r="X16" s="17"/>
      <c r="Y16" s="18"/>
      <c r="Z16" s="48"/>
      <c r="AA16" s="17"/>
      <c r="AB16" s="17"/>
      <c r="AC16" s="17"/>
      <c r="AD16" s="45"/>
      <c r="AE16" s="16"/>
      <c r="AF16" s="17"/>
      <c r="AG16" s="17"/>
      <c r="AH16" s="18"/>
      <c r="AI16" s="48"/>
      <c r="AJ16" s="17"/>
      <c r="AK16" s="17"/>
      <c r="AL16" s="45"/>
      <c r="AM16" s="16"/>
      <c r="AN16" s="17"/>
      <c r="AO16" s="17"/>
      <c r="AP16" s="17"/>
      <c r="AQ16" s="18"/>
      <c r="AR16" s="48"/>
      <c r="AS16" s="17"/>
      <c r="AT16" s="17"/>
      <c r="AU16" s="45"/>
      <c r="AV16" s="16"/>
      <c r="AW16" s="17"/>
      <c r="AX16" s="17"/>
      <c r="AY16" s="18"/>
      <c r="AZ16" s="48"/>
      <c r="BA16" s="17"/>
      <c r="BB16" s="17"/>
      <c r="BC16" s="45"/>
      <c r="BD16" s="16"/>
      <c r="BE16" s="17"/>
      <c r="BF16" s="17"/>
      <c r="BG16" s="17"/>
      <c r="BH16" s="18"/>
      <c r="BI16" s="48"/>
      <c r="BJ16" s="17"/>
      <c r="BK16" s="17"/>
      <c r="BL16" s="45"/>
      <c r="BM16" s="16"/>
      <c r="BN16" s="17"/>
      <c r="BO16" s="17"/>
      <c r="BP16" s="18"/>
    </row>
    <row r="17" spans="2:68">
      <c r="B17" s="16"/>
      <c r="C17" s="17"/>
      <c r="D17" s="17"/>
      <c r="E17" s="18">
        <v>2</v>
      </c>
      <c r="F17" s="31"/>
      <c r="G17" s="32"/>
      <c r="H17" s="32"/>
      <c r="I17" s="33" t="s">
        <v>75</v>
      </c>
      <c r="J17" s="37" t="s">
        <v>110</v>
      </c>
      <c r="K17" s="55">
        <v>42624</v>
      </c>
      <c r="L17" s="55">
        <v>42638</v>
      </c>
      <c r="M17" s="55">
        <v>42624</v>
      </c>
      <c r="N17" s="55"/>
      <c r="O17" s="52" t="s">
        <v>138</v>
      </c>
      <c r="P17" s="31"/>
      <c r="Q17" s="16"/>
      <c r="R17" s="17"/>
      <c r="S17" s="17"/>
      <c r="T17" s="17"/>
      <c r="U17" s="45"/>
      <c r="V17" s="16"/>
      <c r="W17" s="17"/>
      <c r="X17" s="17"/>
      <c r="Y17" s="18"/>
      <c r="Z17" s="48"/>
      <c r="AA17" s="17"/>
      <c r="AB17" s="17"/>
      <c r="AC17" s="17"/>
      <c r="AD17" s="45"/>
      <c r="AE17" s="16"/>
      <c r="AF17" s="17"/>
      <c r="AG17" s="17"/>
      <c r="AH17" s="18"/>
      <c r="AI17" s="48"/>
      <c r="AJ17" s="17"/>
      <c r="AK17" s="17"/>
      <c r="AL17" s="45"/>
      <c r="AM17" s="16"/>
      <c r="AN17" s="17"/>
      <c r="AO17" s="17"/>
      <c r="AP17" s="17"/>
      <c r="AQ17" s="18"/>
      <c r="AR17" s="48"/>
      <c r="AS17" s="17"/>
      <c r="AT17" s="17"/>
      <c r="AU17" s="45"/>
      <c r="AV17" s="16"/>
      <c r="AW17" s="17"/>
      <c r="AX17" s="17"/>
      <c r="AY17" s="18"/>
      <c r="AZ17" s="48"/>
      <c r="BA17" s="17"/>
      <c r="BB17" s="17"/>
      <c r="BC17" s="45"/>
      <c r="BD17" s="16"/>
      <c r="BE17" s="17"/>
      <c r="BF17" s="17"/>
      <c r="BG17" s="17"/>
      <c r="BH17" s="18"/>
      <c r="BI17" s="48"/>
      <c r="BJ17" s="17"/>
      <c r="BK17" s="17"/>
      <c r="BL17" s="45"/>
      <c r="BM17" s="16"/>
      <c r="BN17" s="17"/>
      <c r="BO17" s="17"/>
      <c r="BP17" s="18"/>
    </row>
    <row r="18" spans="2:68">
      <c r="B18" s="16"/>
      <c r="C18" s="17"/>
      <c r="D18" s="17"/>
      <c r="E18" s="18">
        <v>3</v>
      </c>
      <c r="F18" s="31"/>
      <c r="G18" s="32"/>
      <c r="H18" s="32"/>
      <c r="I18" s="33" t="s">
        <v>76</v>
      </c>
      <c r="J18" s="37" t="s">
        <v>110</v>
      </c>
      <c r="K18" s="55">
        <v>42618</v>
      </c>
      <c r="L18" s="55">
        <v>42638</v>
      </c>
      <c r="M18" s="55">
        <v>42618</v>
      </c>
      <c r="N18" s="55"/>
      <c r="O18" s="37" t="s">
        <v>138</v>
      </c>
      <c r="P18" s="31"/>
      <c r="Q18" s="16"/>
      <c r="R18" s="17"/>
      <c r="S18" s="17"/>
      <c r="T18" s="17"/>
      <c r="U18" s="45"/>
      <c r="V18" s="16"/>
      <c r="W18" s="17"/>
      <c r="X18" s="17"/>
      <c r="Y18" s="18"/>
      <c r="Z18" s="48"/>
      <c r="AA18" s="17"/>
      <c r="AB18" s="17"/>
      <c r="AC18" s="17"/>
      <c r="AD18" s="45"/>
      <c r="AE18" s="16"/>
      <c r="AF18" s="17"/>
      <c r="AG18" s="17"/>
      <c r="AH18" s="18"/>
      <c r="AI18" s="48"/>
      <c r="AJ18" s="17"/>
      <c r="AK18" s="17"/>
      <c r="AL18" s="45"/>
      <c r="AM18" s="16"/>
      <c r="AN18" s="17"/>
      <c r="AO18" s="17"/>
      <c r="AP18" s="17"/>
      <c r="AQ18" s="18"/>
      <c r="AR18" s="48"/>
      <c r="AS18" s="17"/>
      <c r="AT18" s="17"/>
      <c r="AU18" s="45"/>
      <c r="AV18" s="16"/>
      <c r="AW18" s="17"/>
      <c r="AX18" s="17"/>
      <c r="AY18" s="18"/>
      <c r="AZ18" s="48"/>
      <c r="BA18" s="17"/>
      <c r="BB18" s="17"/>
      <c r="BC18" s="45"/>
      <c r="BD18" s="16"/>
      <c r="BE18" s="17"/>
      <c r="BF18" s="17"/>
      <c r="BG18" s="17"/>
      <c r="BH18" s="18"/>
      <c r="BI18" s="48"/>
      <c r="BJ18" s="17"/>
      <c r="BK18" s="17"/>
      <c r="BL18" s="45"/>
      <c r="BM18" s="16"/>
      <c r="BN18" s="17"/>
      <c r="BO18" s="17"/>
      <c r="BP18" s="18"/>
    </row>
    <row r="19" spans="2:68">
      <c r="B19" s="16"/>
      <c r="C19" s="17"/>
      <c r="D19" s="17">
        <v>4</v>
      </c>
      <c r="E19" s="18"/>
      <c r="F19" s="31"/>
      <c r="G19" s="32"/>
      <c r="H19" s="32" t="s">
        <v>195</v>
      </c>
      <c r="I19" s="33"/>
      <c r="J19" s="37" t="s">
        <v>110</v>
      </c>
      <c r="K19" s="55">
        <v>42597</v>
      </c>
      <c r="L19" s="55">
        <v>42610</v>
      </c>
      <c r="M19" s="55">
        <v>42597</v>
      </c>
      <c r="N19" s="55">
        <v>42610</v>
      </c>
      <c r="O19" s="52" t="s">
        <v>200</v>
      </c>
      <c r="P19" s="31"/>
      <c r="Q19" s="16"/>
      <c r="R19" s="17"/>
      <c r="S19" s="17"/>
      <c r="T19" s="17"/>
      <c r="U19" s="45"/>
      <c r="V19" s="16"/>
      <c r="W19" s="17"/>
      <c r="X19" s="17"/>
      <c r="Y19" s="18"/>
      <c r="Z19" s="48"/>
      <c r="AA19" s="17"/>
      <c r="AB19" s="17"/>
      <c r="AC19" s="17"/>
      <c r="AD19" s="45"/>
      <c r="AE19" s="16"/>
      <c r="AF19" s="17"/>
      <c r="AG19" s="17"/>
      <c r="AH19" s="18"/>
      <c r="AI19" s="48"/>
      <c r="AJ19" s="17"/>
      <c r="AK19" s="17"/>
      <c r="AL19" s="45"/>
      <c r="AM19" s="16"/>
      <c r="AN19" s="17"/>
      <c r="AO19" s="17"/>
      <c r="AP19" s="17"/>
      <c r="AQ19" s="18"/>
      <c r="AR19" s="48"/>
      <c r="AS19" s="17"/>
      <c r="AT19" s="17"/>
      <c r="AU19" s="45"/>
      <c r="AV19" s="16"/>
      <c r="AW19" s="17"/>
      <c r="AX19" s="17"/>
      <c r="AY19" s="18"/>
      <c r="AZ19" s="48"/>
      <c r="BA19" s="17"/>
      <c r="BB19" s="17"/>
      <c r="BC19" s="45"/>
      <c r="BD19" s="16"/>
      <c r="BE19" s="17"/>
      <c r="BF19" s="17"/>
      <c r="BG19" s="17"/>
      <c r="BH19" s="18"/>
      <c r="BI19" s="48"/>
      <c r="BJ19" s="17"/>
      <c r="BK19" s="17"/>
      <c r="BL19" s="45"/>
      <c r="BM19" s="16"/>
      <c r="BN19" s="17"/>
      <c r="BO19" s="17"/>
      <c r="BP19" s="18"/>
    </row>
    <row r="20" spans="2:68">
      <c r="B20" s="16"/>
      <c r="C20" s="17"/>
      <c r="D20" s="17">
        <v>5</v>
      </c>
      <c r="E20" s="18"/>
      <c r="F20" s="31"/>
      <c r="G20" s="32"/>
      <c r="H20" s="32" t="s">
        <v>78</v>
      </c>
      <c r="I20" s="33"/>
      <c r="J20" s="37" t="s">
        <v>110</v>
      </c>
      <c r="K20" s="55"/>
      <c r="L20" s="55"/>
      <c r="M20" s="55"/>
      <c r="N20" s="55"/>
      <c r="O20" s="37"/>
      <c r="P20" s="31"/>
      <c r="Q20" s="16"/>
      <c r="R20" s="17"/>
      <c r="S20" s="17"/>
      <c r="T20" s="17"/>
      <c r="U20" s="45"/>
      <c r="V20" s="16"/>
      <c r="W20" s="17"/>
      <c r="X20" s="17"/>
      <c r="Y20" s="18"/>
      <c r="Z20" s="48"/>
      <c r="AA20" s="17"/>
      <c r="AB20" s="17"/>
      <c r="AC20" s="17"/>
      <c r="AD20" s="45"/>
      <c r="AE20" s="16"/>
      <c r="AF20" s="17"/>
      <c r="AG20" s="17"/>
      <c r="AH20" s="18"/>
      <c r="AI20" s="48"/>
      <c r="AJ20" s="17"/>
      <c r="AK20" s="17"/>
      <c r="AL20" s="45"/>
      <c r="AM20" s="16"/>
      <c r="AN20" s="17"/>
      <c r="AO20" s="17"/>
      <c r="AP20" s="17"/>
      <c r="AQ20" s="18"/>
      <c r="AR20" s="48"/>
      <c r="AS20" s="17"/>
      <c r="AT20" s="17"/>
      <c r="AU20" s="45"/>
      <c r="AV20" s="16"/>
      <c r="AW20" s="17"/>
      <c r="AX20" s="17"/>
      <c r="AY20" s="18"/>
      <c r="AZ20" s="48"/>
      <c r="BA20" s="17"/>
      <c r="BB20" s="17"/>
      <c r="BC20" s="45"/>
      <c r="BD20" s="16"/>
      <c r="BE20" s="17"/>
      <c r="BF20" s="17"/>
      <c r="BG20" s="17"/>
      <c r="BH20" s="18"/>
      <c r="BI20" s="48"/>
      <c r="BJ20" s="17"/>
      <c r="BK20" s="17"/>
      <c r="BL20" s="45"/>
      <c r="BM20" s="16"/>
      <c r="BN20" s="17"/>
      <c r="BO20" s="17"/>
      <c r="BP20" s="18"/>
    </row>
    <row r="21" spans="2:68">
      <c r="B21" s="16"/>
      <c r="C21" s="17"/>
      <c r="D21" s="17"/>
      <c r="E21" s="18">
        <v>1</v>
      </c>
      <c r="F21" s="31"/>
      <c r="G21" s="32"/>
      <c r="H21" s="32"/>
      <c r="I21" s="33" t="s">
        <v>79</v>
      </c>
      <c r="J21" s="37" t="s">
        <v>110</v>
      </c>
      <c r="K21" s="55">
        <v>42675</v>
      </c>
      <c r="L21" s="55">
        <v>42704</v>
      </c>
      <c r="M21" s="55"/>
      <c r="N21" s="55"/>
      <c r="O21" s="37"/>
      <c r="P21" s="31"/>
      <c r="Q21" s="16"/>
      <c r="R21" s="17"/>
      <c r="S21" s="17"/>
      <c r="T21" s="17"/>
      <c r="U21" s="45"/>
      <c r="V21" s="16"/>
      <c r="W21" s="17"/>
      <c r="X21" s="17"/>
      <c r="Y21" s="18"/>
      <c r="Z21" s="48"/>
      <c r="AA21" s="17"/>
      <c r="AB21" s="17"/>
      <c r="AC21" s="17"/>
      <c r="AD21" s="45"/>
      <c r="AE21" s="16"/>
      <c r="AF21" s="17"/>
      <c r="AG21" s="17"/>
      <c r="AH21" s="18"/>
      <c r="AI21" s="48"/>
      <c r="AJ21" s="17"/>
      <c r="AK21" s="17"/>
      <c r="AL21" s="45"/>
      <c r="AM21" s="16"/>
      <c r="AN21" s="17"/>
      <c r="AO21" s="17"/>
      <c r="AP21" s="17"/>
      <c r="AQ21" s="18"/>
      <c r="AR21" s="48"/>
      <c r="AS21" s="17"/>
      <c r="AT21" s="17"/>
      <c r="AU21" s="45"/>
      <c r="AV21" s="16"/>
      <c r="AW21" s="17"/>
      <c r="AX21" s="17"/>
      <c r="AY21" s="18"/>
      <c r="AZ21" s="48"/>
      <c r="BA21" s="17"/>
      <c r="BB21" s="17"/>
      <c r="BC21" s="45"/>
      <c r="BD21" s="16"/>
      <c r="BE21" s="17"/>
      <c r="BF21" s="17"/>
      <c r="BG21" s="17"/>
      <c r="BH21" s="18"/>
      <c r="BI21" s="48"/>
      <c r="BJ21" s="17"/>
      <c r="BK21" s="17"/>
      <c r="BL21" s="45"/>
      <c r="BM21" s="16"/>
      <c r="BN21" s="17"/>
      <c r="BO21" s="17"/>
      <c r="BP21" s="18"/>
    </row>
    <row r="22" spans="2:68">
      <c r="B22" s="16"/>
      <c r="C22" s="17"/>
      <c r="D22" s="17"/>
      <c r="E22" s="18">
        <v>2</v>
      </c>
      <c r="F22" s="31"/>
      <c r="G22" s="32"/>
      <c r="H22" s="32"/>
      <c r="I22" s="33" t="s">
        <v>80</v>
      </c>
      <c r="J22" s="37" t="s">
        <v>110</v>
      </c>
      <c r="K22" s="55">
        <v>42675</v>
      </c>
      <c r="L22" s="55">
        <v>42704</v>
      </c>
      <c r="M22" s="55"/>
      <c r="N22" s="55"/>
      <c r="O22" s="37"/>
      <c r="P22" s="31"/>
      <c r="Q22" s="16"/>
      <c r="R22" s="17"/>
      <c r="S22" s="17"/>
      <c r="T22" s="17"/>
      <c r="U22" s="45"/>
      <c r="V22" s="16"/>
      <c r="W22" s="17"/>
      <c r="X22" s="17"/>
      <c r="Y22" s="18"/>
      <c r="Z22" s="48"/>
      <c r="AA22" s="17"/>
      <c r="AB22" s="17"/>
      <c r="AC22" s="17"/>
      <c r="AD22" s="45"/>
      <c r="AE22" s="16"/>
      <c r="AF22" s="17"/>
      <c r="AG22" s="17"/>
      <c r="AH22" s="18"/>
      <c r="AI22" s="48"/>
      <c r="AJ22" s="17"/>
      <c r="AK22" s="17"/>
      <c r="AL22" s="45"/>
      <c r="AM22" s="16"/>
      <c r="AN22" s="17"/>
      <c r="AO22" s="17"/>
      <c r="AP22" s="17"/>
      <c r="AQ22" s="18"/>
      <c r="AR22" s="48"/>
      <c r="AS22" s="17"/>
      <c r="AT22" s="17"/>
      <c r="AU22" s="45"/>
      <c r="AV22" s="16"/>
      <c r="AW22" s="17"/>
      <c r="AX22" s="17"/>
      <c r="AY22" s="18"/>
      <c r="AZ22" s="48"/>
      <c r="BA22" s="17"/>
      <c r="BB22" s="17"/>
      <c r="BC22" s="45"/>
      <c r="BD22" s="16"/>
      <c r="BE22" s="17"/>
      <c r="BF22" s="17"/>
      <c r="BG22" s="17"/>
      <c r="BH22" s="18"/>
      <c r="BI22" s="48"/>
      <c r="BJ22" s="17"/>
      <c r="BK22" s="17"/>
      <c r="BL22" s="45"/>
      <c r="BM22" s="16"/>
      <c r="BN22" s="17"/>
      <c r="BO22" s="17"/>
      <c r="BP22" s="18"/>
    </row>
    <row r="23" spans="2:68">
      <c r="B23" s="16"/>
      <c r="C23" s="17"/>
      <c r="D23" s="17"/>
      <c r="E23" s="18">
        <v>3</v>
      </c>
      <c r="F23" s="31"/>
      <c r="G23" s="32"/>
      <c r="H23" s="32"/>
      <c r="I23" s="33" t="s">
        <v>76</v>
      </c>
      <c r="J23" s="37" t="s">
        <v>110</v>
      </c>
      <c r="K23" s="55">
        <v>42675</v>
      </c>
      <c r="L23" s="55">
        <v>42704</v>
      </c>
      <c r="M23" s="55"/>
      <c r="N23" s="55"/>
      <c r="O23" s="37"/>
      <c r="P23" s="31"/>
      <c r="Q23" s="16"/>
      <c r="R23" s="17"/>
      <c r="S23" s="17"/>
      <c r="T23" s="17"/>
      <c r="U23" s="45"/>
      <c r="V23" s="16"/>
      <c r="W23" s="17"/>
      <c r="X23" s="17"/>
      <c r="Y23" s="18"/>
      <c r="Z23" s="48"/>
      <c r="AA23" s="17"/>
      <c r="AB23" s="17"/>
      <c r="AC23" s="17"/>
      <c r="AD23" s="45"/>
      <c r="AE23" s="16"/>
      <c r="AF23" s="17"/>
      <c r="AG23" s="17"/>
      <c r="AH23" s="18"/>
      <c r="AI23" s="48"/>
      <c r="AJ23" s="17"/>
      <c r="AK23" s="17"/>
      <c r="AL23" s="45"/>
      <c r="AM23" s="16"/>
      <c r="AN23" s="17"/>
      <c r="AO23" s="17"/>
      <c r="AP23" s="17"/>
      <c r="AQ23" s="18"/>
      <c r="AR23" s="48"/>
      <c r="AS23" s="17"/>
      <c r="AT23" s="17"/>
      <c r="AU23" s="45"/>
      <c r="AV23" s="16"/>
      <c r="AW23" s="17"/>
      <c r="AX23" s="17"/>
      <c r="AY23" s="18"/>
      <c r="AZ23" s="48"/>
      <c r="BA23" s="17"/>
      <c r="BB23" s="17"/>
      <c r="BC23" s="45"/>
      <c r="BD23" s="16"/>
      <c r="BE23" s="17"/>
      <c r="BF23" s="17"/>
      <c r="BG23" s="17"/>
      <c r="BH23" s="18"/>
      <c r="BI23" s="48"/>
      <c r="BJ23" s="17"/>
      <c r="BK23" s="17"/>
      <c r="BL23" s="45"/>
      <c r="BM23" s="16"/>
      <c r="BN23" s="17"/>
      <c r="BO23" s="17"/>
      <c r="BP23" s="18"/>
    </row>
    <row r="24" spans="2:68">
      <c r="B24" s="16"/>
      <c r="C24" s="17"/>
      <c r="D24" s="17">
        <v>6</v>
      </c>
      <c r="E24" s="18"/>
      <c r="F24" s="31"/>
      <c r="G24" s="32"/>
      <c r="H24" s="32" t="s">
        <v>81</v>
      </c>
      <c r="I24" s="33"/>
      <c r="J24" s="37" t="s">
        <v>110</v>
      </c>
      <c r="K24" s="55"/>
      <c r="L24" s="55"/>
      <c r="M24" s="55"/>
      <c r="N24" s="55"/>
      <c r="O24" s="37"/>
      <c r="P24" s="31"/>
      <c r="Q24" s="16"/>
      <c r="R24" s="17"/>
      <c r="S24" s="17"/>
      <c r="T24" s="17"/>
      <c r="U24" s="45"/>
      <c r="V24" s="16"/>
      <c r="W24" s="17"/>
      <c r="X24" s="17"/>
      <c r="Y24" s="18"/>
      <c r="Z24" s="48"/>
      <c r="AA24" s="17"/>
      <c r="AB24" s="17"/>
      <c r="AC24" s="17"/>
      <c r="AD24" s="45"/>
      <c r="AE24" s="16"/>
      <c r="AF24" s="17"/>
      <c r="AG24" s="17"/>
      <c r="AH24" s="18"/>
      <c r="AI24" s="48"/>
      <c r="AJ24" s="17"/>
      <c r="AK24" s="17"/>
      <c r="AL24" s="45"/>
      <c r="AM24" s="16"/>
      <c r="AN24" s="17"/>
      <c r="AO24" s="17"/>
      <c r="AP24" s="17"/>
      <c r="AQ24" s="18"/>
      <c r="AR24" s="48"/>
      <c r="AS24" s="17"/>
      <c r="AT24" s="17"/>
      <c r="AU24" s="45"/>
      <c r="AV24" s="16"/>
      <c r="AW24" s="17"/>
      <c r="AX24" s="17"/>
      <c r="AY24" s="18"/>
      <c r="AZ24" s="48"/>
      <c r="BA24" s="17"/>
      <c r="BB24" s="17"/>
      <c r="BC24" s="45"/>
      <c r="BD24" s="16"/>
      <c r="BE24" s="17"/>
      <c r="BF24" s="17"/>
      <c r="BG24" s="17"/>
      <c r="BH24" s="18"/>
      <c r="BI24" s="48"/>
      <c r="BJ24" s="17"/>
      <c r="BK24" s="17"/>
      <c r="BL24" s="45"/>
      <c r="BM24" s="16"/>
      <c r="BN24" s="17"/>
      <c r="BO24" s="17"/>
      <c r="BP24" s="18"/>
    </row>
    <row r="25" spans="2:68">
      <c r="B25" s="16"/>
      <c r="C25" s="17"/>
      <c r="D25" s="17"/>
      <c r="E25" s="18">
        <v>1</v>
      </c>
      <c r="F25" s="31"/>
      <c r="G25" s="32"/>
      <c r="H25" s="32"/>
      <c r="I25" s="33" t="s">
        <v>196</v>
      </c>
      <c r="J25" s="52" t="s">
        <v>199</v>
      </c>
      <c r="K25" s="55">
        <v>42675</v>
      </c>
      <c r="L25" s="55">
        <v>42704</v>
      </c>
      <c r="M25" s="55"/>
      <c r="N25" s="55"/>
      <c r="O25" s="52"/>
      <c r="P25" s="31"/>
      <c r="Q25" s="16"/>
      <c r="R25" s="17"/>
      <c r="S25" s="17"/>
      <c r="T25" s="17"/>
      <c r="U25" s="45"/>
      <c r="V25" s="16"/>
      <c r="W25" s="17"/>
      <c r="X25" s="17"/>
      <c r="Y25" s="18"/>
      <c r="Z25" s="48"/>
      <c r="AA25" s="17"/>
      <c r="AB25" s="17"/>
      <c r="AC25" s="17"/>
      <c r="AD25" s="45"/>
      <c r="AE25" s="16"/>
      <c r="AF25" s="17"/>
      <c r="AG25" s="17"/>
      <c r="AH25" s="18"/>
      <c r="AI25" s="48"/>
      <c r="AJ25" s="17"/>
      <c r="AK25" s="17"/>
      <c r="AL25" s="45"/>
      <c r="AM25" s="16"/>
      <c r="AN25" s="17"/>
      <c r="AO25" s="17"/>
      <c r="AP25" s="17"/>
      <c r="AQ25" s="18"/>
      <c r="AR25" s="48"/>
      <c r="AS25" s="17"/>
      <c r="AT25" s="17"/>
      <c r="AU25" s="45"/>
      <c r="AV25" s="16"/>
      <c r="AW25" s="17"/>
      <c r="AX25" s="17"/>
      <c r="AY25" s="18"/>
      <c r="AZ25" s="48"/>
      <c r="BA25" s="17"/>
      <c r="BB25" s="17"/>
      <c r="BC25" s="45"/>
      <c r="BD25" s="16"/>
      <c r="BE25" s="17"/>
      <c r="BF25" s="17"/>
      <c r="BG25" s="17"/>
      <c r="BH25" s="18"/>
      <c r="BI25" s="48"/>
      <c r="BJ25" s="17"/>
      <c r="BK25" s="17"/>
      <c r="BL25" s="45"/>
      <c r="BM25" s="16"/>
      <c r="BN25" s="17"/>
      <c r="BO25" s="17"/>
      <c r="BP25" s="18"/>
    </row>
    <row r="26" spans="2:68">
      <c r="B26" s="16"/>
      <c r="C26" s="17"/>
      <c r="D26" s="17"/>
      <c r="E26" s="18">
        <v>2</v>
      </c>
      <c r="F26" s="31"/>
      <c r="G26" s="32"/>
      <c r="H26" s="32"/>
      <c r="I26" s="33" t="s">
        <v>197</v>
      </c>
      <c r="J26" s="52" t="s">
        <v>110</v>
      </c>
      <c r="K26" s="55">
        <v>42675</v>
      </c>
      <c r="L26" s="55">
        <v>42704</v>
      </c>
      <c r="M26" s="55"/>
      <c r="N26" s="55"/>
      <c r="O26" s="52"/>
      <c r="P26" s="31"/>
      <c r="Q26" s="16"/>
      <c r="R26" s="17"/>
      <c r="S26" s="17"/>
      <c r="T26" s="17"/>
      <c r="U26" s="45"/>
      <c r="V26" s="16"/>
      <c r="W26" s="17"/>
      <c r="X26" s="17"/>
      <c r="Y26" s="18"/>
      <c r="Z26" s="48"/>
      <c r="AA26" s="17"/>
      <c r="AB26" s="17"/>
      <c r="AC26" s="17"/>
      <c r="AD26" s="45"/>
      <c r="AE26" s="16"/>
      <c r="AF26" s="17"/>
      <c r="AG26" s="17"/>
      <c r="AH26" s="18"/>
      <c r="AI26" s="48"/>
      <c r="AJ26" s="17"/>
      <c r="AK26" s="17"/>
      <c r="AL26" s="45"/>
      <c r="AM26" s="16"/>
      <c r="AN26" s="17"/>
      <c r="AO26" s="17"/>
      <c r="AP26" s="17"/>
      <c r="AQ26" s="18"/>
      <c r="AR26" s="48"/>
      <c r="AS26" s="17"/>
      <c r="AT26" s="17"/>
      <c r="AU26" s="45"/>
      <c r="AV26" s="16"/>
      <c r="AW26" s="17"/>
      <c r="AX26" s="17"/>
      <c r="AY26" s="18"/>
      <c r="AZ26" s="48"/>
      <c r="BA26" s="17"/>
      <c r="BB26" s="17"/>
      <c r="BC26" s="45"/>
      <c r="BD26" s="16"/>
      <c r="BE26" s="17"/>
      <c r="BF26" s="17"/>
      <c r="BG26" s="17"/>
      <c r="BH26" s="18"/>
      <c r="BI26" s="48"/>
      <c r="BJ26" s="17"/>
      <c r="BK26" s="17"/>
      <c r="BL26" s="45"/>
      <c r="BM26" s="16"/>
      <c r="BN26" s="17"/>
      <c r="BO26" s="17"/>
      <c r="BP26" s="18"/>
    </row>
    <row r="27" spans="2:68">
      <c r="B27" s="16"/>
      <c r="C27" s="17"/>
      <c r="D27" s="17"/>
      <c r="E27" s="18">
        <v>3</v>
      </c>
      <c r="F27" s="31"/>
      <c r="G27" s="32"/>
      <c r="H27" s="32"/>
      <c r="I27" s="33" t="s">
        <v>198</v>
      </c>
      <c r="J27" s="52" t="s">
        <v>110</v>
      </c>
      <c r="K27" s="55">
        <v>42675</v>
      </c>
      <c r="L27" s="55">
        <v>42704</v>
      </c>
      <c r="M27" s="55"/>
      <c r="N27" s="55"/>
      <c r="O27" s="52"/>
      <c r="P27" s="31"/>
      <c r="Q27" s="16"/>
      <c r="R27" s="17"/>
      <c r="S27" s="17"/>
      <c r="T27" s="17"/>
      <c r="U27" s="45"/>
      <c r="V27" s="16"/>
      <c r="W27" s="17"/>
      <c r="X27" s="17"/>
      <c r="Y27" s="18"/>
      <c r="Z27" s="48"/>
      <c r="AA27" s="17"/>
      <c r="AB27" s="17"/>
      <c r="AC27" s="17"/>
      <c r="AD27" s="45"/>
      <c r="AE27" s="16"/>
      <c r="AF27" s="17"/>
      <c r="AG27" s="17"/>
      <c r="AH27" s="18"/>
      <c r="AI27" s="48"/>
      <c r="AJ27" s="17"/>
      <c r="AK27" s="17"/>
      <c r="AL27" s="45"/>
      <c r="AM27" s="16"/>
      <c r="AN27" s="17"/>
      <c r="AO27" s="17"/>
      <c r="AP27" s="17"/>
      <c r="AQ27" s="18"/>
      <c r="AR27" s="48"/>
      <c r="AS27" s="17"/>
      <c r="AT27" s="17"/>
      <c r="AU27" s="45"/>
      <c r="AV27" s="16"/>
      <c r="AW27" s="17"/>
      <c r="AX27" s="17"/>
      <c r="AY27" s="18"/>
      <c r="AZ27" s="48"/>
      <c r="BA27" s="17"/>
      <c r="BB27" s="17"/>
      <c r="BC27" s="45"/>
      <c r="BD27" s="16"/>
      <c r="BE27" s="17"/>
      <c r="BF27" s="17"/>
      <c r="BG27" s="17"/>
      <c r="BH27" s="18"/>
      <c r="BI27" s="48"/>
      <c r="BJ27" s="17"/>
      <c r="BK27" s="17"/>
      <c r="BL27" s="45"/>
      <c r="BM27" s="16"/>
      <c r="BN27" s="17"/>
      <c r="BO27" s="17"/>
      <c r="BP27" s="18"/>
    </row>
    <row r="28" spans="2:68">
      <c r="B28" s="16"/>
      <c r="C28" s="17"/>
      <c r="D28" s="17">
        <v>7</v>
      </c>
      <c r="E28" s="18"/>
      <c r="F28" s="31"/>
      <c r="G28" s="32"/>
      <c r="H28" s="32" t="s">
        <v>82</v>
      </c>
      <c r="I28" s="33"/>
      <c r="J28" s="37" t="s">
        <v>110</v>
      </c>
      <c r="K28" s="55"/>
      <c r="L28" s="55"/>
      <c r="M28" s="55"/>
      <c r="N28" s="55"/>
      <c r="O28" s="37"/>
      <c r="P28" s="31"/>
      <c r="Q28" s="16"/>
      <c r="R28" s="17"/>
      <c r="S28" s="17"/>
      <c r="T28" s="17"/>
      <c r="U28" s="45"/>
      <c r="V28" s="16"/>
      <c r="W28" s="17"/>
      <c r="X28" s="17"/>
      <c r="Y28" s="18"/>
      <c r="Z28" s="48"/>
      <c r="AA28" s="17"/>
      <c r="AB28" s="17"/>
      <c r="AC28" s="17"/>
      <c r="AD28" s="45"/>
      <c r="AE28" s="16"/>
      <c r="AF28" s="17"/>
      <c r="AG28" s="17"/>
      <c r="AH28" s="18"/>
      <c r="AI28" s="48"/>
      <c r="AJ28" s="17"/>
      <c r="AK28" s="17"/>
      <c r="AL28" s="45"/>
      <c r="AM28" s="16"/>
      <c r="AN28" s="17"/>
      <c r="AO28" s="17"/>
      <c r="AP28" s="17"/>
      <c r="AQ28" s="18"/>
      <c r="AR28" s="48"/>
      <c r="AS28" s="17"/>
      <c r="AT28" s="17"/>
      <c r="AU28" s="45"/>
      <c r="AV28" s="16"/>
      <c r="AW28" s="17"/>
      <c r="AX28" s="17"/>
      <c r="AY28" s="18"/>
      <c r="AZ28" s="48"/>
      <c r="BA28" s="17"/>
      <c r="BB28" s="17"/>
      <c r="BC28" s="45"/>
      <c r="BD28" s="16"/>
      <c r="BE28" s="17"/>
      <c r="BF28" s="17"/>
      <c r="BG28" s="17"/>
      <c r="BH28" s="18"/>
      <c r="BI28" s="48"/>
      <c r="BJ28" s="17"/>
      <c r="BK28" s="17"/>
      <c r="BL28" s="45"/>
      <c r="BM28" s="16"/>
      <c r="BN28" s="17"/>
      <c r="BO28" s="17"/>
      <c r="BP28" s="18"/>
    </row>
    <row r="29" spans="2:68">
      <c r="B29" s="16"/>
      <c r="C29" s="17"/>
      <c r="D29" s="17"/>
      <c r="E29" s="18">
        <v>1</v>
      </c>
      <c r="F29" s="31"/>
      <c r="G29" s="32"/>
      <c r="H29" s="32"/>
      <c r="I29" s="33" t="s">
        <v>83</v>
      </c>
      <c r="J29" s="37" t="s">
        <v>110</v>
      </c>
      <c r="K29" s="55">
        <v>42675</v>
      </c>
      <c r="L29" s="55">
        <v>42704</v>
      </c>
      <c r="M29" s="55"/>
      <c r="N29" s="55"/>
      <c r="O29" s="37"/>
      <c r="P29" s="31"/>
      <c r="Q29" s="16"/>
      <c r="R29" s="17"/>
      <c r="S29" s="17"/>
      <c r="T29" s="17"/>
      <c r="U29" s="45"/>
      <c r="V29" s="16"/>
      <c r="W29" s="17"/>
      <c r="X29" s="17"/>
      <c r="Y29" s="18"/>
      <c r="Z29" s="48"/>
      <c r="AA29" s="17"/>
      <c r="AB29" s="17"/>
      <c r="AC29" s="17"/>
      <c r="AD29" s="45"/>
      <c r="AE29" s="16"/>
      <c r="AF29" s="17"/>
      <c r="AG29" s="17"/>
      <c r="AH29" s="18"/>
      <c r="AI29" s="48"/>
      <c r="AJ29" s="17"/>
      <c r="AK29" s="17"/>
      <c r="AL29" s="45"/>
      <c r="AM29" s="16"/>
      <c r="AN29" s="17"/>
      <c r="AO29" s="17"/>
      <c r="AP29" s="17"/>
      <c r="AQ29" s="18"/>
      <c r="AR29" s="48"/>
      <c r="AS29" s="17"/>
      <c r="AT29" s="17"/>
      <c r="AU29" s="45"/>
      <c r="AV29" s="16"/>
      <c r="AW29" s="17"/>
      <c r="AX29" s="17"/>
      <c r="AY29" s="18"/>
      <c r="AZ29" s="48"/>
      <c r="BA29" s="17"/>
      <c r="BB29" s="17"/>
      <c r="BC29" s="45"/>
      <c r="BD29" s="16"/>
      <c r="BE29" s="17"/>
      <c r="BF29" s="17"/>
      <c r="BG29" s="17"/>
      <c r="BH29" s="18"/>
      <c r="BI29" s="48"/>
      <c r="BJ29" s="17"/>
      <c r="BK29" s="17"/>
      <c r="BL29" s="45"/>
      <c r="BM29" s="16"/>
      <c r="BN29" s="17"/>
      <c r="BO29" s="17"/>
      <c r="BP29" s="18"/>
    </row>
    <row r="30" spans="2:68">
      <c r="B30" s="16"/>
      <c r="C30" s="17"/>
      <c r="D30" s="17"/>
      <c r="E30" s="18">
        <v>2</v>
      </c>
      <c r="F30" s="31"/>
      <c r="G30" s="32"/>
      <c r="H30" s="32"/>
      <c r="I30" s="33" t="s">
        <v>84</v>
      </c>
      <c r="J30" s="37" t="s">
        <v>110</v>
      </c>
      <c r="K30" s="55">
        <v>42675</v>
      </c>
      <c r="L30" s="55">
        <v>42704</v>
      </c>
      <c r="M30" s="55"/>
      <c r="N30" s="55"/>
      <c r="O30" s="37"/>
      <c r="P30" s="31"/>
      <c r="Q30" s="16"/>
      <c r="R30" s="17"/>
      <c r="S30" s="17"/>
      <c r="T30" s="17"/>
      <c r="U30" s="45"/>
      <c r="V30" s="16"/>
      <c r="W30" s="17"/>
      <c r="X30" s="17"/>
      <c r="Y30" s="18"/>
      <c r="Z30" s="48"/>
      <c r="AA30" s="17"/>
      <c r="AB30" s="17"/>
      <c r="AC30" s="17"/>
      <c r="AD30" s="45"/>
      <c r="AE30" s="16"/>
      <c r="AF30" s="17"/>
      <c r="AG30" s="17"/>
      <c r="AH30" s="18"/>
      <c r="AI30" s="48"/>
      <c r="AJ30" s="17"/>
      <c r="AK30" s="17"/>
      <c r="AL30" s="45"/>
      <c r="AM30" s="16"/>
      <c r="AN30" s="17"/>
      <c r="AO30" s="17"/>
      <c r="AP30" s="17"/>
      <c r="AQ30" s="18"/>
      <c r="AR30" s="48"/>
      <c r="AS30" s="17"/>
      <c r="AT30" s="17"/>
      <c r="AU30" s="45"/>
      <c r="AV30" s="16"/>
      <c r="AW30" s="17"/>
      <c r="AX30" s="17"/>
      <c r="AY30" s="18"/>
      <c r="AZ30" s="48"/>
      <c r="BA30" s="17"/>
      <c r="BB30" s="17"/>
      <c r="BC30" s="45"/>
      <c r="BD30" s="16"/>
      <c r="BE30" s="17"/>
      <c r="BF30" s="17"/>
      <c r="BG30" s="17"/>
      <c r="BH30" s="18"/>
      <c r="BI30" s="48"/>
      <c r="BJ30" s="17"/>
      <c r="BK30" s="17"/>
      <c r="BL30" s="45"/>
      <c r="BM30" s="16"/>
      <c r="BN30" s="17"/>
      <c r="BO30" s="17"/>
      <c r="BP30" s="18"/>
    </row>
    <row r="31" spans="2:68">
      <c r="B31" s="16"/>
      <c r="C31" s="17"/>
      <c r="D31" s="17"/>
      <c r="E31" s="18">
        <v>3</v>
      </c>
      <c r="F31" s="31"/>
      <c r="G31" s="32"/>
      <c r="H31" s="32"/>
      <c r="I31" s="33" t="s">
        <v>85</v>
      </c>
      <c r="J31" s="37" t="s">
        <v>110</v>
      </c>
      <c r="K31" s="55">
        <v>42675</v>
      </c>
      <c r="L31" s="55">
        <v>42704</v>
      </c>
      <c r="M31" s="55"/>
      <c r="N31" s="55"/>
      <c r="O31" s="37"/>
      <c r="P31" s="31"/>
      <c r="Q31" s="16"/>
      <c r="R31" s="17"/>
      <c r="S31" s="17"/>
      <c r="T31" s="17"/>
      <c r="U31" s="45"/>
      <c r="V31" s="16"/>
      <c r="W31" s="17"/>
      <c r="X31" s="17"/>
      <c r="Y31" s="18"/>
      <c r="Z31" s="48"/>
      <c r="AA31" s="17"/>
      <c r="AB31" s="17"/>
      <c r="AC31" s="17"/>
      <c r="AD31" s="45"/>
      <c r="AE31" s="16"/>
      <c r="AF31" s="17"/>
      <c r="AG31" s="17"/>
      <c r="AH31" s="18"/>
      <c r="AI31" s="48"/>
      <c r="AJ31" s="17"/>
      <c r="AK31" s="17"/>
      <c r="AL31" s="45"/>
      <c r="AM31" s="16"/>
      <c r="AN31" s="17"/>
      <c r="AO31" s="17"/>
      <c r="AP31" s="17"/>
      <c r="AQ31" s="18"/>
      <c r="AR31" s="48"/>
      <c r="AS31" s="17"/>
      <c r="AT31" s="17"/>
      <c r="AU31" s="45"/>
      <c r="AV31" s="16"/>
      <c r="AW31" s="17"/>
      <c r="AX31" s="17"/>
      <c r="AY31" s="18"/>
      <c r="AZ31" s="48"/>
      <c r="BA31" s="17"/>
      <c r="BB31" s="17"/>
      <c r="BC31" s="45"/>
      <c r="BD31" s="16"/>
      <c r="BE31" s="17"/>
      <c r="BF31" s="17"/>
      <c r="BG31" s="17"/>
      <c r="BH31" s="18"/>
      <c r="BI31" s="48"/>
      <c r="BJ31" s="17"/>
      <c r="BK31" s="17"/>
      <c r="BL31" s="45"/>
      <c r="BM31" s="16"/>
      <c r="BN31" s="17"/>
      <c r="BO31" s="17"/>
      <c r="BP31" s="18"/>
    </row>
    <row r="32" spans="2:68">
      <c r="B32" s="16"/>
      <c r="C32" s="17"/>
      <c r="D32" s="17">
        <v>8</v>
      </c>
      <c r="E32" s="18"/>
      <c r="F32" s="31"/>
      <c r="G32" s="32"/>
      <c r="H32" s="32" t="s">
        <v>86</v>
      </c>
      <c r="I32" s="33"/>
      <c r="J32" s="37" t="s">
        <v>110</v>
      </c>
      <c r="K32" s="55"/>
      <c r="L32" s="55"/>
      <c r="M32" s="55"/>
      <c r="N32" s="55"/>
      <c r="O32" s="37"/>
      <c r="P32" s="31"/>
      <c r="Q32" s="16"/>
      <c r="R32" s="17"/>
      <c r="S32" s="17"/>
      <c r="T32" s="17"/>
      <c r="U32" s="45"/>
      <c r="V32" s="16"/>
      <c r="W32" s="17"/>
      <c r="X32" s="17"/>
      <c r="Y32" s="18"/>
      <c r="Z32" s="48"/>
      <c r="AA32" s="17"/>
      <c r="AB32" s="17"/>
      <c r="AC32" s="17"/>
      <c r="AD32" s="45"/>
      <c r="AE32" s="16"/>
      <c r="AF32" s="17"/>
      <c r="AG32" s="17"/>
      <c r="AH32" s="18"/>
      <c r="AI32" s="48"/>
      <c r="AJ32" s="17"/>
      <c r="AK32" s="17"/>
      <c r="AL32" s="45"/>
      <c r="AM32" s="16"/>
      <c r="AN32" s="17"/>
      <c r="AO32" s="17"/>
      <c r="AP32" s="17"/>
      <c r="AQ32" s="18"/>
      <c r="AR32" s="48"/>
      <c r="AS32" s="17"/>
      <c r="AT32" s="17"/>
      <c r="AU32" s="45"/>
      <c r="AV32" s="16"/>
      <c r="AW32" s="17"/>
      <c r="AX32" s="17"/>
      <c r="AY32" s="18"/>
      <c r="AZ32" s="48"/>
      <c r="BA32" s="17"/>
      <c r="BB32" s="17"/>
      <c r="BC32" s="45"/>
      <c r="BD32" s="16"/>
      <c r="BE32" s="17"/>
      <c r="BF32" s="17"/>
      <c r="BG32" s="17"/>
      <c r="BH32" s="18"/>
      <c r="BI32" s="48"/>
      <c r="BJ32" s="17"/>
      <c r="BK32" s="17"/>
      <c r="BL32" s="45"/>
      <c r="BM32" s="16"/>
      <c r="BN32" s="17"/>
      <c r="BO32" s="17"/>
      <c r="BP32" s="18"/>
    </row>
    <row r="33" spans="2:68">
      <c r="B33" s="16"/>
      <c r="C33" s="17"/>
      <c r="D33" s="17"/>
      <c r="E33" s="18">
        <v>1</v>
      </c>
      <c r="F33" s="31"/>
      <c r="G33" s="32"/>
      <c r="H33" s="32"/>
      <c r="I33" s="33" t="s">
        <v>87</v>
      </c>
      <c r="J33" s="37" t="s">
        <v>110</v>
      </c>
      <c r="K33" s="55">
        <v>42705</v>
      </c>
      <c r="L33" s="55">
        <v>42735</v>
      </c>
      <c r="M33" s="55"/>
      <c r="N33" s="55"/>
      <c r="O33" s="37"/>
      <c r="P33" s="31"/>
      <c r="Q33" s="16"/>
      <c r="R33" s="17"/>
      <c r="S33" s="17"/>
      <c r="T33" s="17"/>
      <c r="U33" s="45"/>
      <c r="V33" s="16"/>
      <c r="W33" s="17"/>
      <c r="X33" s="17"/>
      <c r="Y33" s="18"/>
      <c r="Z33" s="48"/>
      <c r="AA33" s="17"/>
      <c r="AB33" s="17"/>
      <c r="AC33" s="17"/>
      <c r="AD33" s="45"/>
      <c r="AE33" s="16"/>
      <c r="AF33" s="17"/>
      <c r="AG33" s="17"/>
      <c r="AH33" s="18"/>
      <c r="AI33" s="48"/>
      <c r="AJ33" s="17"/>
      <c r="AK33" s="17"/>
      <c r="AL33" s="45"/>
      <c r="AM33" s="16"/>
      <c r="AN33" s="17"/>
      <c r="AO33" s="17"/>
      <c r="AP33" s="17"/>
      <c r="AQ33" s="18"/>
      <c r="AR33" s="48"/>
      <c r="AS33" s="17"/>
      <c r="AT33" s="17"/>
      <c r="AU33" s="45"/>
      <c r="AV33" s="16"/>
      <c r="AW33" s="17"/>
      <c r="AX33" s="17"/>
      <c r="AY33" s="18"/>
      <c r="AZ33" s="48"/>
      <c r="BA33" s="17"/>
      <c r="BB33" s="17"/>
      <c r="BC33" s="45"/>
      <c r="BD33" s="16"/>
      <c r="BE33" s="17"/>
      <c r="BF33" s="17"/>
      <c r="BG33" s="17"/>
      <c r="BH33" s="18"/>
      <c r="BI33" s="48"/>
      <c r="BJ33" s="17"/>
      <c r="BK33" s="17"/>
      <c r="BL33" s="45"/>
      <c r="BM33" s="16"/>
      <c r="BN33" s="17"/>
      <c r="BO33" s="17"/>
      <c r="BP33" s="18"/>
    </row>
    <row r="34" spans="2:68">
      <c r="B34" s="16"/>
      <c r="C34" s="17"/>
      <c r="D34" s="17"/>
      <c r="E34" s="18">
        <v>2</v>
      </c>
      <c r="F34" s="31"/>
      <c r="G34" s="32"/>
      <c r="H34" s="32"/>
      <c r="I34" s="33" t="s">
        <v>88</v>
      </c>
      <c r="J34" s="37" t="s">
        <v>110</v>
      </c>
      <c r="K34" s="55">
        <v>42705</v>
      </c>
      <c r="L34" s="55">
        <v>42735</v>
      </c>
      <c r="M34" s="55"/>
      <c r="N34" s="55"/>
      <c r="O34" s="37"/>
      <c r="P34" s="31"/>
      <c r="Q34" s="16"/>
      <c r="R34" s="17"/>
      <c r="S34" s="17"/>
      <c r="T34" s="17"/>
      <c r="U34" s="45"/>
      <c r="V34" s="16"/>
      <c r="W34" s="17"/>
      <c r="X34" s="17"/>
      <c r="Y34" s="18"/>
      <c r="Z34" s="48"/>
      <c r="AA34" s="17"/>
      <c r="AB34" s="17"/>
      <c r="AC34" s="17"/>
      <c r="AD34" s="45"/>
      <c r="AE34" s="16"/>
      <c r="AF34" s="17"/>
      <c r="AG34" s="17"/>
      <c r="AH34" s="18"/>
      <c r="AI34" s="48"/>
      <c r="AJ34" s="17"/>
      <c r="AK34" s="17"/>
      <c r="AL34" s="45"/>
      <c r="AM34" s="16"/>
      <c r="AN34" s="17"/>
      <c r="AO34" s="17"/>
      <c r="AP34" s="17"/>
      <c r="AQ34" s="18"/>
      <c r="AR34" s="48"/>
      <c r="AS34" s="17"/>
      <c r="AT34" s="17"/>
      <c r="AU34" s="45"/>
      <c r="AV34" s="16"/>
      <c r="AW34" s="17"/>
      <c r="AX34" s="17"/>
      <c r="AY34" s="18"/>
      <c r="AZ34" s="48"/>
      <c r="BA34" s="17"/>
      <c r="BB34" s="17"/>
      <c r="BC34" s="45"/>
      <c r="BD34" s="16"/>
      <c r="BE34" s="17"/>
      <c r="BF34" s="17"/>
      <c r="BG34" s="17"/>
      <c r="BH34" s="18"/>
      <c r="BI34" s="48"/>
      <c r="BJ34" s="17"/>
      <c r="BK34" s="17"/>
      <c r="BL34" s="45"/>
      <c r="BM34" s="16"/>
      <c r="BN34" s="17"/>
      <c r="BO34" s="17"/>
      <c r="BP34" s="18"/>
    </row>
    <row r="35" spans="2:68">
      <c r="B35" s="16"/>
      <c r="C35" s="17"/>
      <c r="D35" s="17">
        <v>9</v>
      </c>
      <c r="E35" s="18"/>
      <c r="F35" s="31"/>
      <c r="G35" s="32"/>
      <c r="H35" s="32" t="s">
        <v>89</v>
      </c>
      <c r="I35" s="33"/>
      <c r="J35" s="37" t="s">
        <v>110</v>
      </c>
      <c r="K35" s="55">
        <v>42705</v>
      </c>
      <c r="L35" s="55">
        <v>42735</v>
      </c>
      <c r="M35" s="55"/>
      <c r="N35" s="55"/>
      <c r="O35" s="37"/>
      <c r="P35" s="31"/>
      <c r="Q35" s="16"/>
      <c r="R35" s="17"/>
      <c r="S35" s="17"/>
      <c r="T35" s="17"/>
      <c r="U35" s="45"/>
      <c r="V35" s="16"/>
      <c r="W35" s="17"/>
      <c r="X35" s="17"/>
      <c r="Y35" s="18"/>
      <c r="Z35" s="48"/>
      <c r="AA35" s="17"/>
      <c r="AB35" s="17"/>
      <c r="AC35" s="17"/>
      <c r="AD35" s="45"/>
      <c r="AE35" s="16"/>
      <c r="AF35" s="17"/>
      <c r="AG35" s="17"/>
      <c r="AH35" s="18"/>
      <c r="AI35" s="48"/>
      <c r="AJ35" s="17"/>
      <c r="AK35" s="17"/>
      <c r="AL35" s="45"/>
      <c r="AM35" s="16"/>
      <c r="AN35" s="17"/>
      <c r="AO35" s="17"/>
      <c r="AP35" s="17"/>
      <c r="AQ35" s="18"/>
      <c r="AR35" s="48"/>
      <c r="AS35" s="17"/>
      <c r="AT35" s="17"/>
      <c r="AU35" s="45"/>
      <c r="AV35" s="16"/>
      <c r="AW35" s="17"/>
      <c r="AX35" s="17"/>
      <c r="AY35" s="18"/>
      <c r="AZ35" s="48"/>
      <c r="BA35" s="17"/>
      <c r="BB35" s="17"/>
      <c r="BC35" s="45"/>
      <c r="BD35" s="16"/>
      <c r="BE35" s="17"/>
      <c r="BF35" s="17"/>
      <c r="BG35" s="17"/>
      <c r="BH35" s="18"/>
      <c r="BI35" s="48"/>
      <c r="BJ35" s="17"/>
      <c r="BK35" s="17"/>
      <c r="BL35" s="45"/>
      <c r="BM35" s="16"/>
      <c r="BN35" s="17"/>
      <c r="BO35" s="17"/>
      <c r="BP35" s="18"/>
    </row>
    <row r="36" spans="2:68">
      <c r="B36" s="16"/>
      <c r="C36" s="17"/>
      <c r="D36" s="17">
        <v>10</v>
      </c>
      <c r="E36" s="18"/>
      <c r="F36" s="31"/>
      <c r="G36" s="32"/>
      <c r="H36" s="32" t="s">
        <v>90</v>
      </c>
      <c r="I36" s="33"/>
      <c r="J36" s="37" t="s">
        <v>110</v>
      </c>
      <c r="K36" s="55">
        <v>42705</v>
      </c>
      <c r="L36" s="55">
        <v>42735</v>
      </c>
      <c r="M36" s="55"/>
      <c r="N36" s="55"/>
      <c r="O36" s="37"/>
      <c r="P36" s="31"/>
      <c r="Q36" s="16"/>
      <c r="R36" s="17"/>
      <c r="S36" s="17"/>
      <c r="T36" s="17"/>
      <c r="U36" s="45"/>
      <c r="V36" s="16"/>
      <c r="W36" s="17"/>
      <c r="X36" s="17"/>
      <c r="Y36" s="18"/>
      <c r="Z36" s="48"/>
      <c r="AA36" s="17"/>
      <c r="AB36" s="17"/>
      <c r="AC36" s="17"/>
      <c r="AD36" s="45"/>
      <c r="AE36" s="16"/>
      <c r="AF36" s="17"/>
      <c r="AG36" s="17"/>
      <c r="AH36" s="18"/>
      <c r="AI36" s="48"/>
      <c r="AJ36" s="17"/>
      <c r="AK36" s="17"/>
      <c r="AL36" s="45"/>
      <c r="AM36" s="16"/>
      <c r="AN36" s="17"/>
      <c r="AO36" s="17"/>
      <c r="AP36" s="17"/>
      <c r="AQ36" s="18"/>
      <c r="AR36" s="48"/>
      <c r="AS36" s="17"/>
      <c r="AT36" s="17"/>
      <c r="AU36" s="45"/>
      <c r="AV36" s="16"/>
      <c r="AW36" s="17"/>
      <c r="AX36" s="17"/>
      <c r="AY36" s="18"/>
      <c r="AZ36" s="48"/>
      <c r="BA36" s="17"/>
      <c r="BB36" s="17"/>
      <c r="BC36" s="45"/>
      <c r="BD36" s="16"/>
      <c r="BE36" s="17"/>
      <c r="BF36" s="17"/>
      <c r="BG36" s="17"/>
      <c r="BH36" s="18"/>
      <c r="BI36" s="48"/>
      <c r="BJ36" s="17"/>
      <c r="BK36" s="17"/>
      <c r="BL36" s="45"/>
      <c r="BM36" s="16"/>
      <c r="BN36" s="17"/>
      <c r="BO36" s="17"/>
      <c r="BP36" s="18"/>
    </row>
    <row r="37" spans="2:68">
      <c r="B37" s="16"/>
      <c r="C37" s="17">
        <v>4</v>
      </c>
      <c r="D37" s="17"/>
      <c r="E37" s="18"/>
      <c r="F37" s="31"/>
      <c r="G37" s="32" t="s">
        <v>91</v>
      </c>
      <c r="H37" s="32"/>
      <c r="I37" s="33"/>
      <c r="J37" s="37" t="s">
        <v>110</v>
      </c>
      <c r="K37" s="55"/>
      <c r="L37" s="55"/>
      <c r="M37" s="55"/>
      <c r="N37" s="55"/>
      <c r="O37" s="37"/>
      <c r="P37" s="31"/>
      <c r="Q37" s="16"/>
      <c r="R37" s="17"/>
      <c r="S37" s="17"/>
      <c r="T37" s="17"/>
      <c r="U37" s="45"/>
      <c r="V37" s="16"/>
      <c r="W37" s="17"/>
      <c r="X37" s="17"/>
      <c r="Y37" s="18"/>
      <c r="Z37" s="48"/>
      <c r="AA37" s="17"/>
      <c r="AB37" s="17"/>
      <c r="AC37" s="17"/>
      <c r="AD37" s="45"/>
      <c r="AE37" s="16"/>
      <c r="AF37" s="17"/>
      <c r="AG37" s="17"/>
      <c r="AH37" s="18"/>
      <c r="AI37" s="48"/>
      <c r="AJ37" s="17"/>
      <c r="AK37" s="17"/>
      <c r="AL37" s="45"/>
      <c r="AM37" s="16"/>
      <c r="AN37" s="17"/>
      <c r="AO37" s="17"/>
      <c r="AP37" s="17"/>
      <c r="AQ37" s="18"/>
      <c r="AR37" s="48"/>
      <c r="AS37" s="17"/>
      <c r="AT37" s="17"/>
      <c r="AU37" s="45"/>
      <c r="AV37" s="16"/>
      <c r="AW37" s="17"/>
      <c r="AX37" s="17"/>
      <c r="AY37" s="18"/>
      <c r="AZ37" s="48"/>
      <c r="BA37" s="17"/>
      <c r="BB37" s="17"/>
      <c r="BC37" s="45"/>
      <c r="BD37" s="16"/>
      <c r="BE37" s="17"/>
      <c r="BF37" s="17"/>
      <c r="BG37" s="17"/>
      <c r="BH37" s="18"/>
      <c r="BI37" s="48"/>
      <c r="BJ37" s="17"/>
      <c r="BK37" s="17"/>
      <c r="BL37" s="45"/>
      <c r="BM37" s="16"/>
      <c r="BN37" s="17"/>
      <c r="BO37" s="17"/>
      <c r="BP37" s="18"/>
    </row>
    <row r="38" spans="2:68">
      <c r="B38" s="16"/>
      <c r="C38" s="17"/>
      <c r="D38" s="17">
        <v>1</v>
      </c>
      <c r="E38" s="18"/>
      <c r="F38" s="31"/>
      <c r="G38" s="32"/>
      <c r="H38" s="32" t="s">
        <v>92</v>
      </c>
      <c r="I38" s="33"/>
      <c r="J38" s="37" t="s">
        <v>260</v>
      </c>
      <c r="K38" s="55">
        <v>42709</v>
      </c>
      <c r="L38" s="55">
        <v>42722</v>
      </c>
      <c r="M38" s="55"/>
      <c r="N38" s="55"/>
      <c r="O38" s="37"/>
      <c r="P38" s="31"/>
      <c r="Q38" s="16"/>
      <c r="R38" s="17"/>
      <c r="S38" s="17"/>
      <c r="T38" s="17"/>
      <c r="U38" s="45"/>
      <c r="V38" s="16"/>
      <c r="W38" s="17"/>
      <c r="X38" s="17"/>
      <c r="Y38" s="18"/>
      <c r="Z38" s="48"/>
      <c r="AA38" s="17"/>
      <c r="AB38" s="17"/>
      <c r="AC38" s="17"/>
      <c r="AD38" s="45"/>
      <c r="AE38" s="16"/>
      <c r="AF38" s="17"/>
      <c r="AG38" s="17"/>
      <c r="AH38" s="18"/>
      <c r="AI38" s="48"/>
      <c r="AJ38" s="17"/>
      <c r="AK38" s="17"/>
      <c r="AL38" s="45"/>
      <c r="AM38" s="16"/>
      <c r="AN38" s="17"/>
      <c r="AO38" s="17"/>
      <c r="AP38" s="17"/>
      <c r="AQ38" s="18"/>
      <c r="AR38" s="48"/>
      <c r="AS38" s="17"/>
      <c r="AT38" s="17"/>
      <c r="AU38" s="45"/>
      <c r="AV38" s="16"/>
      <c r="AW38" s="17"/>
      <c r="AX38" s="17"/>
      <c r="AY38" s="18"/>
      <c r="AZ38" s="48"/>
      <c r="BA38" s="17"/>
      <c r="BB38" s="17"/>
      <c r="BC38" s="45"/>
      <c r="BD38" s="16"/>
      <c r="BE38" s="17"/>
      <c r="BF38" s="17"/>
      <c r="BG38" s="17"/>
      <c r="BH38" s="18"/>
      <c r="BI38" s="48"/>
      <c r="BJ38" s="17"/>
      <c r="BK38" s="17"/>
      <c r="BL38" s="45"/>
      <c r="BM38" s="16"/>
      <c r="BN38" s="17"/>
      <c r="BO38" s="17"/>
      <c r="BP38" s="18"/>
    </row>
    <row r="39" spans="2:68">
      <c r="B39" s="16"/>
      <c r="C39" s="17"/>
      <c r="D39" s="17">
        <v>2</v>
      </c>
      <c r="E39" s="18"/>
      <c r="F39" s="31"/>
      <c r="G39" s="32"/>
      <c r="H39" s="32" t="s">
        <v>93</v>
      </c>
      <c r="I39" s="33"/>
      <c r="J39" s="37" t="s">
        <v>260</v>
      </c>
      <c r="K39" s="55">
        <v>42723</v>
      </c>
      <c r="L39" s="55">
        <v>42736</v>
      </c>
      <c r="M39" s="55"/>
      <c r="N39" s="55"/>
      <c r="O39" s="37"/>
      <c r="P39" s="31"/>
      <c r="Q39" s="16"/>
      <c r="R39" s="17"/>
      <c r="S39" s="17"/>
      <c r="T39" s="17"/>
      <c r="U39" s="45"/>
      <c r="V39" s="16"/>
      <c r="W39" s="17"/>
      <c r="X39" s="17"/>
      <c r="Y39" s="18"/>
      <c r="Z39" s="48"/>
      <c r="AA39" s="17"/>
      <c r="AB39" s="17"/>
      <c r="AC39" s="17"/>
      <c r="AD39" s="45"/>
      <c r="AE39" s="16"/>
      <c r="AF39" s="17"/>
      <c r="AG39" s="17"/>
      <c r="AH39" s="18"/>
      <c r="AI39" s="48"/>
      <c r="AJ39" s="17"/>
      <c r="AK39" s="17"/>
      <c r="AL39" s="45"/>
      <c r="AM39" s="16"/>
      <c r="AN39" s="17"/>
      <c r="AO39" s="17"/>
      <c r="AP39" s="17"/>
      <c r="AQ39" s="18"/>
      <c r="AR39" s="48"/>
      <c r="AS39" s="17"/>
      <c r="AT39" s="17"/>
      <c r="AU39" s="45"/>
      <c r="AV39" s="16"/>
      <c r="AW39" s="17"/>
      <c r="AX39" s="17"/>
      <c r="AY39" s="18"/>
      <c r="AZ39" s="48"/>
      <c r="BA39" s="17"/>
      <c r="BB39" s="17"/>
      <c r="BC39" s="45"/>
      <c r="BD39" s="16"/>
      <c r="BE39" s="17"/>
      <c r="BF39" s="17"/>
      <c r="BG39" s="17"/>
      <c r="BH39" s="18"/>
      <c r="BI39" s="48"/>
      <c r="BJ39" s="17"/>
      <c r="BK39" s="17"/>
      <c r="BL39" s="45"/>
      <c r="BM39" s="16"/>
      <c r="BN39" s="17"/>
      <c r="BO39" s="17"/>
      <c r="BP39" s="18"/>
    </row>
    <row r="40" spans="2:68">
      <c r="B40" s="16"/>
      <c r="C40" s="17"/>
      <c r="D40" s="17">
        <v>3</v>
      </c>
      <c r="E40" s="18"/>
      <c r="F40" s="31"/>
      <c r="G40" s="32"/>
      <c r="H40" s="32" t="s">
        <v>109</v>
      </c>
      <c r="I40" s="33"/>
      <c r="J40" s="37" t="s">
        <v>260</v>
      </c>
      <c r="K40" s="55">
        <v>42737</v>
      </c>
      <c r="L40" s="55">
        <v>42750</v>
      </c>
      <c r="M40" s="55"/>
      <c r="N40" s="55"/>
      <c r="O40" s="37"/>
      <c r="P40" s="31"/>
      <c r="Q40" s="16"/>
      <c r="R40" s="17"/>
      <c r="S40" s="17"/>
      <c r="T40" s="17"/>
      <c r="U40" s="45"/>
      <c r="V40" s="16"/>
      <c r="W40" s="17"/>
      <c r="X40" s="17"/>
      <c r="Y40" s="18"/>
      <c r="Z40" s="48"/>
      <c r="AA40" s="17"/>
      <c r="AB40" s="17"/>
      <c r="AC40" s="17"/>
      <c r="AD40" s="45"/>
      <c r="AE40" s="16"/>
      <c r="AF40" s="17"/>
      <c r="AG40" s="17"/>
      <c r="AH40" s="18"/>
      <c r="AI40" s="48"/>
      <c r="AJ40" s="17"/>
      <c r="AK40" s="17"/>
      <c r="AL40" s="45"/>
      <c r="AM40" s="16"/>
      <c r="AN40" s="17"/>
      <c r="AO40" s="17"/>
      <c r="AP40" s="17"/>
      <c r="AQ40" s="18"/>
      <c r="AR40" s="48"/>
      <c r="AS40" s="17"/>
      <c r="AT40" s="17"/>
      <c r="AU40" s="45"/>
      <c r="AV40" s="16"/>
      <c r="AW40" s="17"/>
      <c r="AX40" s="17"/>
      <c r="AY40" s="18"/>
      <c r="AZ40" s="48"/>
      <c r="BA40" s="17"/>
      <c r="BB40" s="17"/>
      <c r="BC40" s="45"/>
      <c r="BD40" s="16"/>
      <c r="BE40" s="17"/>
      <c r="BF40" s="17"/>
      <c r="BG40" s="17"/>
      <c r="BH40" s="18"/>
      <c r="BI40" s="48"/>
      <c r="BJ40" s="17"/>
      <c r="BK40" s="17"/>
      <c r="BL40" s="45"/>
      <c r="BM40" s="16"/>
      <c r="BN40" s="17"/>
      <c r="BO40" s="17"/>
      <c r="BP40" s="18"/>
    </row>
    <row r="41" spans="2:68">
      <c r="B41" s="16"/>
      <c r="C41" s="17">
        <v>6</v>
      </c>
      <c r="D41" s="17"/>
      <c r="E41" s="18"/>
      <c r="F41" s="31"/>
      <c r="G41" s="32" t="s">
        <v>94</v>
      </c>
      <c r="H41" s="32"/>
      <c r="I41" s="33"/>
      <c r="J41" s="37" t="s">
        <v>110</v>
      </c>
      <c r="K41" s="55">
        <v>42737</v>
      </c>
      <c r="L41" s="55">
        <v>42750</v>
      </c>
      <c r="M41" s="55"/>
      <c r="N41" s="55"/>
      <c r="O41" s="37"/>
      <c r="P41" s="31"/>
      <c r="Q41" s="16"/>
      <c r="R41" s="17"/>
      <c r="S41" s="17"/>
      <c r="T41" s="17"/>
      <c r="U41" s="45"/>
      <c r="V41" s="16"/>
      <c r="W41" s="17"/>
      <c r="X41" s="17"/>
      <c r="Y41" s="18"/>
      <c r="Z41" s="48"/>
      <c r="AA41" s="17"/>
      <c r="AB41" s="17"/>
      <c r="AC41" s="17"/>
      <c r="AD41" s="45"/>
      <c r="AE41" s="16"/>
      <c r="AF41" s="17"/>
      <c r="AG41" s="17"/>
      <c r="AH41" s="18"/>
      <c r="AI41" s="48"/>
      <c r="AJ41" s="17"/>
      <c r="AK41" s="17"/>
      <c r="AL41" s="45"/>
      <c r="AM41" s="16"/>
      <c r="AN41" s="17"/>
      <c r="AO41" s="17"/>
      <c r="AP41" s="17"/>
      <c r="AQ41" s="18"/>
      <c r="AR41" s="48"/>
      <c r="AS41" s="17"/>
      <c r="AT41" s="17"/>
      <c r="AU41" s="45"/>
      <c r="AV41" s="16"/>
      <c r="AW41" s="17"/>
      <c r="AX41" s="17"/>
      <c r="AY41" s="18"/>
      <c r="AZ41" s="48"/>
      <c r="BA41" s="17"/>
      <c r="BB41" s="17"/>
      <c r="BC41" s="45"/>
      <c r="BD41" s="16"/>
      <c r="BE41" s="17"/>
      <c r="BF41" s="17"/>
      <c r="BG41" s="17"/>
      <c r="BH41" s="18"/>
      <c r="BI41" s="48"/>
      <c r="BJ41" s="17"/>
      <c r="BK41" s="17"/>
      <c r="BL41" s="45"/>
      <c r="BM41" s="16"/>
      <c r="BN41" s="17"/>
      <c r="BO41" s="17"/>
      <c r="BP41" s="18"/>
    </row>
    <row r="42" spans="2:68">
      <c r="B42" s="16"/>
      <c r="C42" s="17">
        <v>7</v>
      </c>
      <c r="D42" s="17"/>
      <c r="E42" s="18"/>
      <c r="F42" s="31"/>
      <c r="G42" s="57" t="s">
        <v>187</v>
      </c>
      <c r="H42" s="57"/>
      <c r="I42" s="58"/>
      <c r="J42" s="37" t="s">
        <v>110</v>
      </c>
      <c r="K42" s="55"/>
      <c r="L42" s="55"/>
      <c r="M42" s="55"/>
      <c r="N42" s="55"/>
      <c r="O42" s="37"/>
      <c r="P42" s="31"/>
      <c r="Q42" s="16"/>
      <c r="R42" s="17"/>
      <c r="S42" s="17"/>
      <c r="T42" s="17"/>
      <c r="U42" s="45"/>
      <c r="V42" s="16"/>
      <c r="W42" s="17"/>
      <c r="X42" s="17"/>
      <c r="Y42" s="18"/>
      <c r="Z42" s="48"/>
      <c r="AA42" s="17"/>
      <c r="AB42" s="17"/>
      <c r="AC42" s="17"/>
      <c r="AD42" s="45"/>
      <c r="AE42" s="16"/>
      <c r="AF42" s="17"/>
      <c r="AG42" s="17"/>
      <c r="AH42" s="18"/>
      <c r="AI42" s="48"/>
      <c r="AJ42" s="17"/>
      <c r="AK42" s="17"/>
      <c r="AL42" s="45"/>
      <c r="AM42" s="16"/>
      <c r="AN42" s="17"/>
      <c r="AO42" s="17"/>
      <c r="AP42" s="17"/>
      <c r="AQ42" s="18"/>
      <c r="AR42" s="48"/>
      <c r="AS42" s="17"/>
      <c r="AT42" s="17"/>
      <c r="AU42" s="45"/>
      <c r="AV42" s="16"/>
      <c r="AW42" s="17"/>
      <c r="AX42" s="17"/>
      <c r="AY42" s="18"/>
      <c r="AZ42" s="48"/>
      <c r="BA42" s="17"/>
      <c r="BB42" s="17"/>
      <c r="BC42" s="45"/>
      <c r="BD42" s="16"/>
      <c r="BE42" s="17"/>
      <c r="BF42" s="17"/>
      <c r="BG42" s="17"/>
      <c r="BH42" s="18"/>
      <c r="BI42" s="48"/>
      <c r="BJ42" s="17"/>
      <c r="BK42" s="17"/>
      <c r="BL42" s="45"/>
      <c r="BM42" s="16"/>
      <c r="BN42" s="17"/>
      <c r="BO42" s="17"/>
      <c r="BP42" s="18"/>
    </row>
    <row r="43" spans="2:68">
      <c r="B43" s="16"/>
      <c r="C43" s="17"/>
      <c r="D43" s="17">
        <v>1</v>
      </c>
      <c r="E43" s="18"/>
      <c r="F43" s="31"/>
      <c r="G43" s="57"/>
      <c r="H43" s="57" t="s">
        <v>191</v>
      </c>
      <c r="I43" s="58"/>
      <c r="J43" s="72" t="s">
        <v>129</v>
      </c>
      <c r="K43" s="73">
        <v>42590</v>
      </c>
      <c r="L43" s="73">
        <v>42617</v>
      </c>
      <c r="M43" s="73">
        <v>42590</v>
      </c>
      <c r="N43" s="73">
        <v>42617</v>
      </c>
      <c r="O43" s="72" t="s">
        <v>200</v>
      </c>
      <c r="P43" s="31"/>
      <c r="Q43" s="16"/>
      <c r="R43" s="17"/>
      <c r="S43" s="17"/>
      <c r="T43" s="17"/>
      <c r="U43" s="45"/>
      <c r="V43" s="16"/>
      <c r="W43" s="17"/>
      <c r="X43" s="17"/>
      <c r="Y43" s="18"/>
      <c r="Z43" s="48"/>
      <c r="AA43" s="17"/>
      <c r="AB43" s="17"/>
      <c r="AC43" s="17"/>
      <c r="AD43" s="45"/>
      <c r="AE43" s="16"/>
      <c r="AF43" s="17"/>
      <c r="AG43" s="17"/>
      <c r="AH43" s="18"/>
      <c r="AI43" s="48"/>
      <c r="AJ43" s="17"/>
      <c r="AK43" s="17"/>
      <c r="AL43" s="45"/>
      <c r="AM43" s="16"/>
      <c r="AN43" s="17"/>
      <c r="AO43" s="17"/>
      <c r="AP43" s="17"/>
      <c r="AQ43" s="18"/>
      <c r="AR43" s="48"/>
      <c r="AS43" s="17"/>
      <c r="AT43" s="17"/>
      <c r="AU43" s="45"/>
      <c r="AV43" s="16"/>
      <c r="AW43" s="17"/>
      <c r="AX43" s="17"/>
      <c r="AY43" s="18"/>
      <c r="AZ43" s="48"/>
      <c r="BA43" s="17"/>
      <c r="BB43" s="17"/>
      <c r="BC43" s="45"/>
      <c r="BD43" s="16"/>
      <c r="BE43" s="17"/>
      <c r="BF43" s="17"/>
      <c r="BG43" s="17"/>
      <c r="BH43" s="18"/>
      <c r="BI43" s="48"/>
      <c r="BJ43" s="17"/>
      <c r="BK43" s="17"/>
      <c r="BL43" s="45"/>
      <c r="BM43" s="16"/>
      <c r="BN43" s="17"/>
      <c r="BO43" s="17"/>
      <c r="BP43" s="18"/>
    </row>
    <row r="44" spans="2:68">
      <c r="B44" s="16"/>
      <c r="C44" s="17"/>
      <c r="D44" s="17">
        <v>2</v>
      </c>
      <c r="E44" s="18"/>
      <c r="F44" s="31"/>
      <c r="G44" s="57"/>
      <c r="H44" s="57" t="s">
        <v>301</v>
      </c>
      <c r="I44" s="58"/>
      <c r="J44" s="37" t="s">
        <v>129</v>
      </c>
      <c r="K44" s="55">
        <v>42618</v>
      </c>
      <c r="L44" s="55">
        <v>42673</v>
      </c>
      <c r="M44" s="55">
        <v>42618</v>
      </c>
      <c r="N44" s="55"/>
      <c r="O44" s="37" t="s">
        <v>138</v>
      </c>
      <c r="P44" s="31"/>
      <c r="Q44" s="16"/>
      <c r="R44" s="17"/>
      <c r="S44" s="17"/>
      <c r="T44" s="17"/>
      <c r="U44" s="45"/>
      <c r="V44" s="16"/>
      <c r="W44" s="17"/>
      <c r="X44" s="17"/>
      <c r="Y44" s="18"/>
      <c r="Z44" s="48"/>
      <c r="AA44" s="17"/>
      <c r="AB44" s="17"/>
      <c r="AC44" s="17"/>
      <c r="AD44" s="45"/>
      <c r="AE44" s="16"/>
      <c r="AF44" s="17"/>
      <c r="AG44" s="17"/>
      <c r="AH44" s="18"/>
      <c r="AI44" s="48"/>
      <c r="AJ44" s="17"/>
      <c r="AK44" s="17"/>
      <c r="AL44" s="45"/>
      <c r="AM44" s="16"/>
      <c r="AN44" s="17"/>
      <c r="AO44" s="17"/>
      <c r="AP44" s="17"/>
      <c r="AQ44" s="18"/>
      <c r="AR44" s="48"/>
      <c r="AS44" s="17"/>
      <c r="AT44" s="17"/>
      <c r="AU44" s="45"/>
      <c r="AV44" s="16"/>
      <c r="AW44" s="17"/>
      <c r="AX44" s="17"/>
      <c r="AY44" s="18"/>
      <c r="AZ44" s="48"/>
      <c r="BA44" s="17"/>
      <c r="BB44" s="17"/>
      <c r="BC44" s="45"/>
      <c r="BD44" s="16"/>
      <c r="BE44" s="17"/>
      <c r="BF44" s="17"/>
      <c r="BG44" s="17"/>
      <c r="BH44" s="18"/>
      <c r="BI44" s="48"/>
      <c r="BJ44" s="17"/>
      <c r="BK44" s="17"/>
      <c r="BL44" s="45"/>
      <c r="BM44" s="16"/>
      <c r="BN44" s="17"/>
      <c r="BO44" s="17"/>
      <c r="BP44" s="18"/>
    </row>
    <row r="45" spans="2:68">
      <c r="B45" s="16"/>
      <c r="C45" s="17"/>
      <c r="D45" s="17">
        <v>3</v>
      </c>
      <c r="E45" s="18"/>
      <c r="F45" s="31"/>
      <c r="G45" s="57"/>
      <c r="H45" s="57" t="s">
        <v>188</v>
      </c>
      <c r="I45" s="58"/>
      <c r="J45" s="37" t="s">
        <v>110</v>
      </c>
      <c r="K45" s="55"/>
      <c r="L45" s="55"/>
      <c r="M45" s="55"/>
      <c r="N45" s="55"/>
      <c r="O45" s="37"/>
      <c r="P45" s="31"/>
      <c r="Q45" s="16"/>
      <c r="R45" s="17"/>
      <c r="S45" s="17"/>
      <c r="T45" s="17"/>
      <c r="U45" s="45"/>
      <c r="V45" s="16"/>
      <c r="W45" s="17"/>
      <c r="X45" s="17"/>
      <c r="Y45" s="18"/>
      <c r="Z45" s="48"/>
      <c r="AA45" s="17"/>
      <c r="AB45" s="17"/>
      <c r="AC45" s="17"/>
      <c r="AD45" s="45"/>
      <c r="AE45" s="16"/>
      <c r="AF45" s="17"/>
      <c r="AG45" s="17"/>
      <c r="AH45" s="18"/>
      <c r="AI45" s="48"/>
      <c r="AJ45" s="17"/>
      <c r="AK45" s="17"/>
      <c r="AL45" s="45"/>
      <c r="AM45" s="16"/>
      <c r="AN45" s="17"/>
      <c r="AO45" s="17"/>
      <c r="AP45" s="17"/>
      <c r="AQ45" s="18"/>
      <c r="AR45" s="48"/>
      <c r="AS45" s="17"/>
      <c r="AT45" s="17"/>
      <c r="AU45" s="45"/>
      <c r="AV45" s="16"/>
      <c r="AW45" s="17"/>
      <c r="AX45" s="17"/>
      <c r="AY45" s="18"/>
      <c r="AZ45" s="48"/>
      <c r="BA45" s="17"/>
      <c r="BB45" s="17"/>
      <c r="BC45" s="45"/>
      <c r="BD45" s="16"/>
      <c r="BE45" s="17"/>
      <c r="BF45" s="17"/>
      <c r="BG45" s="17"/>
      <c r="BH45" s="18"/>
      <c r="BI45" s="48"/>
      <c r="BJ45" s="17"/>
      <c r="BK45" s="17"/>
      <c r="BL45" s="45"/>
      <c r="BM45" s="16"/>
      <c r="BN45" s="17"/>
      <c r="BO45" s="17"/>
      <c r="BP45" s="18"/>
    </row>
    <row r="46" spans="2:68">
      <c r="B46" s="16"/>
      <c r="C46" s="17"/>
      <c r="D46" s="17"/>
      <c r="E46" s="18">
        <v>1</v>
      </c>
      <c r="F46" s="31"/>
      <c r="G46" s="57"/>
      <c r="H46" s="57"/>
      <c r="I46" s="58" t="s">
        <v>24</v>
      </c>
      <c r="J46" s="37" t="s">
        <v>129</v>
      </c>
      <c r="K46" s="55">
        <v>42681</v>
      </c>
      <c r="L46" s="55">
        <v>42694</v>
      </c>
      <c r="M46" s="55"/>
      <c r="N46" s="55"/>
      <c r="O46" s="37"/>
      <c r="P46" s="31"/>
      <c r="Q46" s="16"/>
      <c r="R46" s="17"/>
      <c r="S46" s="17"/>
      <c r="T46" s="17"/>
      <c r="U46" s="45"/>
      <c r="V46" s="16"/>
      <c r="W46" s="17"/>
      <c r="X46" s="17"/>
      <c r="Y46" s="18"/>
      <c r="Z46" s="48"/>
      <c r="AA46" s="17"/>
      <c r="AB46" s="17"/>
      <c r="AC46" s="17"/>
      <c r="AD46" s="45"/>
      <c r="AE46" s="16"/>
      <c r="AF46" s="17"/>
      <c r="AG46" s="17"/>
      <c r="AH46" s="18"/>
      <c r="AI46" s="48"/>
      <c r="AJ46" s="17"/>
      <c r="AK46" s="17"/>
      <c r="AL46" s="45"/>
      <c r="AM46" s="16"/>
      <c r="AN46" s="17"/>
      <c r="AO46" s="17"/>
      <c r="AP46" s="17"/>
      <c r="AQ46" s="18"/>
      <c r="AR46" s="48"/>
      <c r="AS46" s="17"/>
      <c r="AT46" s="17"/>
      <c r="AU46" s="45"/>
      <c r="AV46" s="16"/>
      <c r="AW46" s="17"/>
      <c r="AX46" s="17"/>
      <c r="AY46" s="18"/>
      <c r="AZ46" s="48"/>
      <c r="BA46" s="17"/>
      <c r="BB46" s="17"/>
      <c r="BC46" s="45"/>
      <c r="BD46" s="16"/>
      <c r="BE46" s="17"/>
      <c r="BF46" s="17"/>
      <c r="BG46" s="17"/>
      <c r="BH46" s="18"/>
      <c r="BI46" s="48"/>
      <c r="BJ46" s="17"/>
      <c r="BK46" s="17"/>
      <c r="BL46" s="45"/>
      <c r="BM46" s="16"/>
      <c r="BN46" s="17"/>
      <c r="BO46" s="17"/>
      <c r="BP46" s="18"/>
    </row>
    <row r="47" spans="2:68">
      <c r="B47" s="16"/>
      <c r="C47" s="17"/>
      <c r="D47" s="17"/>
      <c r="E47" s="18">
        <v>2</v>
      </c>
      <c r="F47" s="31"/>
      <c r="G47" s="57"/>
      <c r="H47" s="57"/>
      <c r="I47" s="58" t="s">
        <v>189</v>
      </c>
      <c r="J47" s="37" t="s">
        <v>129</v>
      </c>
      <c r="K47" s="55">
        <v>42681</v>
      </c>
      <c r="L47" s="55">
        <v>42694</v>
      </c>
      <c r="M47" s="55"/>
      <c r="N47" s="55"/>
      <c r="O47" s="37"/>
      <c r="P47" s="31"/>
      <c r="Q47" s="16"/>
      <c r="R47" s="17"/>
      <c r="S47" s="17"/>
      <c r="T47" s="17"/>
      <c r="U47" s="45"/>
      <c r="V47" s="16"/>
      <c r="W47" s="17"/>
      <c r="X47" s="17"/>
      <c r="Y47" s="18"/>
      <c r="Z47" s="48"/>
      <c r="AA47" s="17"/>
      <c r="AB47" s="17"/>
      <c r="AC47" s="17"/>
      <c r="AD47" s="45"/>
      <c r="AE47" s="16"/>
      <c r="AF47" s="17"/>
      <c r="AG47" s="17"/>
      <c r="AH47" s="18"/>
      <c r="AI47" s="48"/>
      <c r="AJ47" s="17"/>
      <c r="AK47" s="17"/>
      <c r="AL47" s="45"/>
      <c r="AM47" s="16"/>
      <c r="AN47" s="17"/>
      <c r="AO47" s="17"/>
      <c r="AP47" s="17"/>
      <c r="AQ47" s="18"/>
      <c r="AR47" s="48"/>
      <c r="AS47" s="17"/>
      <c r="AT47" s="17"/>
      <c r="AU47" s="45"/>
      <c r="AV47" s="16"/>
      <c r="AW47" s="17"/>
      <c r="AX47" s="17"/>
      <c r="AY47" s="18"/>
      <c r="AZ47" s="48"/>
      <c r="BA47" s="17"/>
      <c r="BB47" s="17"/>
      <c r="BC47" s="45"/>
      <c r="BD47" s="16"/>
      <c r="BE47" s="17"/>
      <c r="BF47" s="17"/>
      <c r="BG47" s="17"/>
      <c r="BH47" s="18"/>
      <c r="BI47" s="48"/>
      <c r="BJ47" s="17"/>
      <c r="BK47" s="17"/>
      <c r="BL47" s="45"/>
      <c r="BM47" s="16"/>
      <c r="BN47" s="17"/>
      <c r="BO47" s="17"/>
      <c r="BP47" s="18"/>
    </row>
    <row r="48" spans="2:68">
      <c r="B48" s="16"/>
      <c r="C48" s="17"/>
      <c r="D48" s="17"/>
      <c r="E48" s="18">
        <v>3</v>
      </c>
      <c r="F48" s="31"/>
      <c r="G48" s="57"/>
      <c r="H48" s="57"/>
      <c r="I48" s="58" t="s">
        <v>190</v>
      </c>
      <c r="J48" s="37" t="s">
        <v>129</v>
      </c>
      <c r="K48" s="55">
        <v>42681</v>
      </c>
      <c r="L48" s="55">
        <v>42694</v>
      </c>
      <c r="M48" s="55"/>
      <c r="N48" s="55"/>
      <c r="O48" s="37"/>
      <c r="P48" s="31"/>
      <c r="Q48" s="16"/>
      <c r="R48" s="17"/>
      <c r="S48" s="17"/>
      <c r="T48" s="17"/>
      <c r="U48" s="45"/>
      <c r="V48" s="16"/>
      <c r="W48" s="17"/>
      <c r="X48" s="17"/>
      <c r="Y48" s="18"/>
      <c r="Z48" s="48"/>
      <c r="AA48" s="17"/>
      <c r="AB48" s="17"/>
      <c r="AC48" s="17"/>
      <c r="AD48" s="45"/>
      <c r="AE48" s="16"/>
      <c r="AF48" s="17"/>
      <c r="AG48" s="17"/>
      <c r="AH48" s="18"/>
      <c r="AI48" s="48"/>
      <c r="AJ48" s="17"/>
      <c r="AK48" s="17"/>
      <c r="AL48" s="45"/>
      <c r="AM48" s="16"/>
      <c r="AN48" s="17"/>
      <c r="AO48" s="17"/>
      <c r="AP48" s="17"/>
      <c r="AQ48" s="18"/>
      <c r="AR48" s="48"/>
      <c r="AS48" s="17"/>
      <c r="AT48" s="17"/>
      <c r="AU48" s="45"/>
      <c r="AV48" s="16"/>
      <c r="AW48" s="17"/>
      <c r="AX48" s="17"/>
      <c r="AY48" s="18"/>
      <c r="AZ48" s="48"/>
      <c r="BA48" s="17"/>
      <c r="BB48" s="17"/>
      <c r="BC48" s="45"/>
      <c r="BD48" s="16"/>
      <c r="BE48" s="17"/>
      <c r="BF48" s="17"/>
      <c r="BG48" s="17"/>
      <c r="BH48" s="18"/>
      <c r="BI48" s="48"/>
      <c r="BJ48" s="17"/>
      <c r="BK48" s="17"/>
      <c r="BL48" s="45"/>
      <c r="BM48" s="16"/>
      <c r="BN48" s="17"/>
      <c r="BO48" s="17"/>
      <c r="BP48" s="18"/>
    </row>
    <row r="49" spans="2:68">
      <c r="B49" s="16"/>
      <c r="C49" s="17"/>
      <c r="D49" s="17">
        <v>4</v>
      </c>
      <c r="E49" s="18"/>
      <c r="F49" s="31"/>
      <c r="G49" s="57"/>
      <c r="H49" s="57" t="s">
        <v>305</v>
      </c>
      <c r="I49" s="58"/>
      <c r="J49" s="37" t="s">
        <v>110</v>
      </c>
      <c r="K49" s="55">
        <v>42695</v>
      </c>
      <c r="L49" s="55">
        <v>42708</v>
      </c>
      <c r="M49" s="55"/>
      <c r="N49" s="55"/>
      <c r="O49" s="37"/>
      <c r="P49" s="31"/>
      <c r="Q49" s="16"/>
      <c r="R49" s="17"/>
      <c r="S49" s="17"/>
      <c r="T49" s="17"/>
      <c r="U49" s="45"/>
      <c r="V49" s="16"/>
      <c r="W49" s="17"/>
      <c r="X49" s="17"/>
      <c r="Y49" s="18"/>
      <c r="Z49" s="48"/>
      <c r="AA49" s="17"/>
      <c r="AB49" s="17"/>
      <c r="AC49" s="17"/>
      <c r="AD49" s="45"/>
      <c r="AE49" s="16"/>
      <c r="AF49" s="17"/>
      <c r="AG49" s="17"/>
      <c r="AH49" s="18"/>
      <c r="AI49" s="48"/>
      <c r="AJ49" s="17"/>
      <c r="AK49" s="17"/>
      <c r="AL49" s="45"/>
      <c r="AM49" s="16"/>
      <c r="AN49" s="17"/>
      <c r="AO49" s="17"/>
      <c r="AP49" s="17"/>
      <c r="AQ49" s="18"/>
      <c r="AR49" s="48"/>
      <c r="AS49" s="17"/>
      <c r="AT49" s="17"/>
      <c r="AU49" s="45"/>
      <c r="AV49" s="16"/>
      <c r="AW49" s="17"/>
      <c r="AX49" s="17"/>
      <c r="AY49" s="18"/>
      <c r="AZ49" s="48"/>
      <c r="BA49" s="17"/>
      <c r="BB49" s="17"/>
      <c r="BC49" s="45"/>
      <c r="BD49" s="16"/>
      <c r="BE49" s="17"/>
      <c r="BF49" s="17"/>
      <c r="BG49" s="17"/>
      <c r="BH49" s="18"/>
      <c r="BI49" s="48"/>
      <c r="BJ49" s="17"/>
      <c r="BK49" s="17"/>
      <c r="BL49" s="45"/>
      <c r="BM49" s="16"/>
      <c r="BN49" s="17"/>
      <c r="BO49" s="17"/>
      <c r="BP49" s="18"/>
    </row>
    <row r="50" spans="2:68">
      <c r="B50" s="16"/>
      <c r="C50" s="17"/>
      <c r="D50" s="17"/>
      <c r="E50" s="18"/>
      <c r="F50" s="31"/>
      <c r="G50" s="32"/>
      <c r="H50" s="32"/>
      <c r="I50" s="33"/>
      <c r="J50" s="37"/>
      <c r="K50" s="55"/>
      <c r="L50" s="55"/>
      <c r="M50" s="55"/>
      <c r="N50" s="55"/>
      <c r="O50" s="37"/>
      <c r="P50" s="31"/>
      <c r="Q50" s="16"/>
      <c r="R50" s="17"/>
      <c r="S50" s="17"/>
      <c r="T50" s="17"/>
      <c r="U50" s="45"/>
      <c r="V50" s="16"/>
      <c r="W50" s="17"/>
      <c r="X50" s="17"/>
      <c r="Y50" s="18"/>
      <c r="Z50" s="48"/>
      <c r="AA50" s="17"/>
      <c r="AB50" s="17"/>
      <c r="AC50" s="17"/>
      <c r="AD50" s="45"/>
      <c r="AE50" s="16"/>
      <c r="AF50" s="17"/>
      <c r="AG50" s="17"/>
      <c r="AH50" s="18"/>
      <c r="AI50" s="48"/>
      <c r="AJ50" s="17"/>
      <c r="AK50" s="17"/>
      <c r="AL50" s="45"/>
      <c r="AM50" s="16"/>
      <c r="AN50" s="17"/>
      <c r="AO50" s="17"/>
      <c r="AP50" s="17"/>
      <c r="AQ50" s="18"/>
      <c r="AR50" s="48"/>
      <c r="AS50" s="17"/>
      <c r="AT50" s="17"/>
      <c r="AU50" s="45"/>
      <c r="AV50" s="16"/>
      <c r="AW50" s="17"/>
      <c r="AX50" s="17"/>
      <c r="AY50" s="18"/>
      <c r="AZ50" s="48"/>
      <c r="BA50" s="17"/>
      <c r="BB50" s="17"/>
      <c r="BC50" s="45"/>
      <c r="BD50" s="16"/>
      <c r="BE50" s="17"/>
      <c r="BF50" s="17"/>
      <c r="BG50" s="17"/>
      <c r="BH50" s="18"/>
      <c r="BI50" s="48"/>
      <c r="BJ50" s="17"/>
      <c r="BK50" s="17"/>
      <c r="BL50" s="45"/>
      <c r="BM50" s="16"/>
      <c r="BN50" s="17"/>
      <c r="BO50" s="17"/>
      <c r="BP50" s="18"/>
    </row>
    <row r="51" spans="2:68">
      <c r="B51" s="19">
        <v>2</v>
      </c>
      <c r="C51" s="20"/>
      <c r="D51" s="20"/>
      <c r="E51" s="21"/>
      <c r="F51" s="28" t="s">
        <v>95</v>
      </c>
      <c r="G51" s="29"/>
      <c r="H51" s="29"/>
      <c r="I51" s="30"/>
      <c r="J51" s="36"/>
      <c r="K51" s="56"/>
      <c r="L51" s="56"/>
      <c r="M51" s="56"/>
      <c r="N51" s="56"/>
      <c r="O51" s="36"/>
      <c r="P51" s="28"/>
      <c r="Q51" s="19"/>
      <c r="R51" s="20"/>
      <c r="S51" s="20"/>
      <c r="T51" s="20"/>
      <c r="U51" s="44"/>
      <c r="V51" s="19"/>
      <c r="W51" s="20"/>
      <c r="X51" s="20"/>
      <c r="Y51" s="21"/>
      <c r="Z51" s="47"/>
      <c r="AA51" s="20"/>
      <c r="AB51" s="20"/>
      <c r="AC51" s="20"/>
      <c r="AD51" s="44"/>
      <c r="AE51" s="19"/>
      <c r="AF51" s="20"/>
      <c r="AG51" s="20"/>
      <c r="AH51" s="21"/>
      <c r="AI51" s="47"/>
      <c r="AJ51" s="20"/>
      <c r="AK51" s="20"/>
      <c r="AL51" s="44"/>
      <c r="AM51" s="19"/>
      <c r="AN51" s="20"/>
      <c r="AO51" s="20"/>
      <c r="AP51" s="20"/>
      <c r="AQ51" s="21"/>
      <c r="AR51" s="47"/>
      <c r="AS51" s="20"/>
      <c r="AT51" s="20"/>
      <c r="AU51" s="44"/>
      <c r="AV51" s="19"/>
      <c r="AW51" s="20"/>
      <c r="AX51" s="20"/>
      <c r="AY51" s="21"/>
      <c r="AZ51" s="47"/>
      <c r="BA51" s="20"/>
      <c r="BB51" s="20"/>
      <c r="BC51" s="44"/>
      <c r="BD51" s="19"/>
      <c r="BE51" s="20"/>
      <c r="BF51" s="20"/>
      <c r="BG51" s="20"/>
      <c r="BH51" s="21"/>
      <c r="BI51" s="47"/>
      <c r="BJ51" s="20"/>
      <c r="BK51" s="20"/>
      <c r="BL51" s="44"/>
      <c r="BM51" s="19"/>
      <c r="BN51" s="20"/>
      <c r="BO51" s="20"/>
      <c r="BP51" s="21"/>
    </row>
    <row r="52" spans="2:68">
      <c r="B52" s="16"/>
      <c r="C52" s="17">
        <v>1</v>
      </c>
      <c r="D52" s="17"/>
      <c r="E52" s="18"/>
      <c r="F52" s="31"/>
      <c r="G52" s="32" t="s">
        <v>302</v>
      </c>
      <c r="H52" s="32"/>
      <c r="I52" s="33"/>
      <c r="J52" s="37" t="s">
        <v>111</v>
      </c>
      <c r="K52" s="55">
        <v>42671</v>
      </c>
      <c r="L52" s="55">
        <v>42713</v>
      </c>
      <c r="M52" s="55"/>
      <c r="N52" s="55"/>
      <c r="O52" s="37"/>
      <c r="P52" s="31"/>
      <c r="Q52" s="16"/>
      <c r="R52" s="17"/>
      <c r="S52" s="17"/>
      <c r="T52" s="17"/>
      <c r="U52" s="45"/>
      <c r="V52" s="16"/>
      <c r="W52" s="17"/>
      <c r="X52" s="17"/>
      <c r="Y52" s="18"/>
      <c r="Z52" s="48"/>
      <c r="AA52" s="17"/>
      <c r="AB52" s="17"/>
      <c r="AC52" s="17"/>
      <c r="AD52" s="45"/>
      <c r="AE52" s="16"/>
      <c r="AF52" s="17"/>
      <c r="AG52" s="17"/>
      <c r="AH52" s="18"/>
      <c r="AI52" s="48"/>
      <c r="AJ52" s="17"/>
      <c r="AK52" s="17"/>
      <c r="AL52" s="45"/>
      <c r="AM52" s="16"/>
      <c r="AN52" s="17"/>
      <c r="AO52" s="17"/>
      <c r="AP52" s="17"/>
      <c r="AQ52" s="18"/>
      <c r="AR52" s="48"/>
      <c r="AS52" s="17"/>
      <c r="AT52" s="17"/>
      <c r="AU52" s="45"/>
      <c r="AV52" s="16"/>
      <c r="AW52" s="17"/>
      <c r="AX52" s="17"/>
      <c r="AY52" s="18"/>
      <c r="AZ52" s="48"/>
      <c r="BA52" s="17"/>
      <c r="BB52" s="17"/>
      <c r="BC52" s="45"/>
      <c r="BD52" s="16"/>
      <c r="BE52" s="17"/>
      <c r="BF52" s="17"/>
      <c r="BG52" s="17"/>
      <c r="BH52" s="18"/>
      <c r="BI52" s="48"/>
      <c r="BJ52" s="17"/>
      <c r="BK52" s="17"/>
      <c r="BL52" s="45"/>
      <c r="BM52" s="16"/>
      <c r="BN52" s="17"/>
      <c r="BO52" s="17"/>
      <c r="BP52" s="18"/>
    </row>
    <row r="53" spans="2:68">
      <c r="B53" s="16"/>
      <c r="C53" s="17">
        <v>2</v>
      </c>
      <c r="D53" s="17"/>
      <c r="E53" s="18"/>
      <c r="F53" s="31"/>
      <c r="G53" s="32" t="s">
        <v>16</v>
      </c>
      <c r="H53" s="32"/>
      <c r="I53" s="33"/>
      <c r="J53" s="82" t="s">
        <v>24</v>
      </c>
      <c r="K53" s="55">
        <v>42716</v>
      </c>
      <c r="L53" s="55">
        <v>42727</v>
      </c>
      <c r="M53" s="55"/>
      <c r="N53" s="55"/>
      <c r="O53" s="82"/>
      <c r="P53" s="31"/>
      <c r="Q53" s="16"/>
      <c r="R53" s="17"/>
      <c r="S53" s="17"/>
      <c r="T53" s="17"/>
      <c r="U53" s="45"/>
      <c r="V53" s="16"/>
      <c r="W53" s="17"/>
      <c r="X53" s="17"/>
      <c r="Y53" s="18"/>
      <c r="Z53" s="48"/>
      <c r="AA53" s="17"/>
      <c r="AB53" s="17"/>
      <c r="AC53" s="17"/>
      <c r="AD53" s="45"/>
      <c r="AE53" s="16"/>
      <c r="AF53" s="17"/>
      <c r="AG53" s="17"/>
      <c r="AH53" s="18"/>
      <c r="AI53" s="48"/>
      <c r="AJ53" s="17"/>
      <c r="AK53" s="17"/>
      <c r="AL53" s="45"/>
      <c r="AM53" s="16"/>
      <c r="AN53" s="17"/>
      <c r="AO53" s="17"/>
      <c r="AP53" s="17"/>
      <c r="AQ53" s="18"/>
      <c r="AR53" s="48"/>
      <c r="AS53" s="17"/>
      <c r="AT53" s="17"/>
      <c r="AU53" s="45"/>
      <c r="AV53" s="16"/>
      <c r="AW53" s="17"/>
      <c r="AX53" s="17"/>
      <c r="AY53" s="18"/>
      <c r="AZ53" s="48"/>
      <c r="BA53" s="17"/>
      <c r="BB53" s="17"/>
      <c r="BC53" s="45"/>
      <c r="BD53" s="16"/>
      <c r="BE53" s="17"/>
      <c r="BF53" s="17"/>
      <c r="BG53" s="17"/>
      <c r="BH53" s="18"/>
      <c r="BI53" s="48"/>
      <c r="BJ53" s="17"/>
      <c r="BK53" s="17"/>
      <c r="BL53" s="45"/>
      <c r="BM53" s="16"/>
      <c r="BN53" s="17"/>
      <c r="BO53" s="17"/>
      <c r="BP53" s="18"/>
    </row>
    <row r="54" spans="2:68">
      <c r="B54" s="16"/>
      <c r="C54" s="17">
        <v>3</v>
      </c>
      <c r="D54" s="17"/>
      <c r="E54" s="18"/>
      <c r="F54" s="31"/>
      <c r="G54" s="32" t="s">
        <v>96</v>
      </c>
      <c r="H54" s="32"/>
      <c r="I54" s="33"/>
      <c r="J54" s="37" t="s">
        <v>110</v>
      </c>
      <c r="K54" s="55">
        <v>42716</v>
      </c>
      <c r="L54" s="55">
        <v>42734</v>
      </c>
      <c r="M54" s="55"/>
      <c r="N54" s="55"/>
      <c r="O54" s="37"/>
      <c r="P54" s="31"/>
      <c r="Q54" s="16"/>
      <c r="R54" s="17"/>
      <c r="S54" s="17"/>
      <c r="T54" s="17"/>
      <c r="U54" s="45"/>
      <c r="V54" s="16"/>
      <c r="W54" s="17"/>
      <c r="X54" s="17"/>
      <c r="Y54" s="18"/>
      <c r="Z54" s="48"/>
      <c r="AA54" s="17"/>
      <c r="AB54" s="17"/>
      <c r="AC54" s="17"/>
      <c r="AD54" s="45"/>
      <c r="AE54" s="16"/>
      <c r="AF54" s="17"/>
      <c r="AG54" s="17"/>
      <c r="AH54" s="18"/>
      <c r="AI54" s="48"/>
      <c r="AJ54" s="17"/>
      <c r="AK54" s="17"/>
      <c r="AL54" s="45"/>
      <c r="AM54" s="16"/>
      <c r="AN54" s="17"/>
      <c r="AO54" s="17"/>
      <c r="AP54" s="17"/>
      <c r="AQ54" s="18"/>
      <c r="AR54" s="48"/>
      <c r="AS54" s="17"/>
      <c r="AT54" s="17"/>
      <c r="AU54" s="45"/>
      <c r="AV54" s="16"/>
      <c r="AW54" s="17"/>
      <c r="AX54" s="17"/>
      <c r="AY54" s="18"/>
      <c r="AZ54" s="48"/>
      <c r="BA54" s="17"/>
      <c r="BB54" s="17"/>
      <c r="BC54" s="45"/>
      <c r="BD54" s="16"/>
      <c r="BE54" s="17"/>
      <c r="BF54" s="17"/>
      <c r="BG54" s="17"/>
      <c r="BH54" s="18"/>
      <c r="BI54" s="48"/>
      <c r="BJ54" s="17"/>
      <c r="BK54" s="17"/>
      <c r="BL54" s="45"/>
      <c r="BM54" s="16"/>
      <c r="BN54" s="17"/>
      <c r="BO54" s="17"/>
      <c r="BP54" s="18"/>
    </row>
    <row r="55" spans="2:68">
      <c r="B55" s="16"/>
      <c r="C55" s="17">
        <v>4</v>
      </c>
      <c r="D55" s="17"/>
      <c r="E55" s="18"/>
      <c r="F55" s="31"/>
      <c r="G55" s="32" t="s">
        <v>97</v>
      </c>
      <c r="H55" s="32"/>
      <c r="I55" s="33"/>
      <c r="J55" s="37" t="s">
        <v>110</v>
      </c>
      <c r="K55" s="55">
        <v>42702</v>
      </c>
      <c r="L55" s="55">
        <v>42715</v>
      </c>
      <c r="M55" s="55"/>
      <c r="N55" s="55"/>
      <c r="O55" s="37"/>
      <c r="P55" s="31"/>
      <c r="Q55" s="16"/>
      <c r="R55" s="17"/>
      <c r="S55" s="17"/>
      <c r="T55" s="17"/>
      <c r="U55" s="45"/>
      <c r="V55" s="16"/>
      <c r="W55" s="17"/>
      <c r="X55" s="17"/>
      <c r="Y55" s="18"/>
      <c r="Z55" s="48"/>
      <c r="AA55" s="17"/>
      <c r="AB55" s="17"/>
      <c r="AC55" s="17"/>
      <c r="AD55" s="45"/>
      <c r="AE55" s="16"/>
      <c r="AF55" s="17"/>
      <c r="AG55" s="17"/>
      <c r="AH55" s="18"/>
      <c r="AI55" s="48"/>
      <c r="AJ55" s="17"/>
      <c r="AK55" s="17"/>
      <c r="AL55" s="45"/>
      <c r="AM55" s="16"/>
      <c r="AN55" s="17"/>
      <c r="AO55" s="17"/>
      <c r="AP55" s="17"/>
      <c r="AQ55" s="18"/>
      <c r="AR55" s="48"/>
      <c r="AS55" s="17"/>
      <c r="AT55" s="17"/>
      <c r="AU55" s="45"/>
      <c r="AV55" s="16"/>
      <c r="AW55" s="17"/>
      <c r="AX55" s="17"/>
      <c r="AY55" s="18"/>
      <c r="AZ55" s="48"/>
      <c r="BA55" s="17"/>
      <c r="BB55" s="17"/>
      <c r="BC55" s="45"/>
      <c r="BD55" s="16"/>
      <c r="BE55" s="17"/>
      <c r="BF55" s="17"/>
      <c r="BG55" s="17"/>
      <c r="BH55" s="18"/>
      <c r="BI55" s="48"/>
      <c r="BJ55" s="17"/>
      <c r="BK55" s="17"/>
      <c r="BL55" s="45"/>
      <c r="BM55" s="16"/>
      <c r="BN55" s="17"/>
      <c r="BO55" s="17"/>
      <c r="BP55" s="18"/>
    </row>
    <row r="56" spans="2:68">
      <c r="B56" s="16"/>
      <c r="C56" s="17">
        <v>5</v>
      </c>
      <c r="D56" s="17"/>
      <c r="E56" s="18"/>
      <c r="F56" s="31"/>
      <c r="G56" s="32" t="s">
        <v>18</v>
      </c>
      <c r="H56" s="32"/>
      <c r="I56" s="33"/>
      <c r="J56" s="37" t="s">
        <v>110</v>
      </c>
      <c r="K56" s="55">
        <v>42716</v>
      </c>
      <c r="L56" s="55">
        <v>42734</v>
      </c>
      <c r="M56" s="55"/>
      <c r="N56" s="55"/>
      <c r="O56" s="37"/>
      <c r="P56" s="31"/>
      <c r="Q56" s="16"/>
      <c r="R56" s="17"/>
      <c r="S56" s="17"/>
      <c r="T56" s="17"/>
      <c r="U56" s="45"/>
      <c r="V56" s="16"/>
      <c r="W56" s="17"/>
      <c r="X56" s="17"/>
      <c r="Y56" s="18"/>
      <c r="Z56" s="48"/>
      <c r="AA56" s="17"/>
      <c r="AB56" s="17"/>
      <c r="AC56" s="17"/>
      <c r="AD56" s="45"/>
      <c r="AE56" s="16"/>
      <c r="AF56" s="17"/>
      <c r="AG56" s="17"/>
      <c r="AH56" s="18"/>
      <c r="AI56" s="48"/>
      <c r="AJ56" s="17"/>
      <c r="AK56" s="17"/>
      <c r="AL56" s="45"/>
      <c r="AM56" s="16"/>
      <c r="AN56" s="17"/>
      <c r="AO56" s="17"/>
      <c r="AP56" s="17"/>
      <c r="AQ56" s="18"/>
      <c r="AR56" s="48"/>
      <c r="AS56" s="17"/>
      <c r="AT56" s="17"/>
      <c r="AU56" s="45"/>
      <c r="AV56" s="16"/>
      <c r="AW56" s="17"/>
      <c r="AX56" s="17"/>
      <c r="AY56" s="18"/>
      <c r="AZ56" s="48"/>
      <c r="BA56" s="17"/>
      <c r="BB56" s="17"/>
      <c r="BC56" s="45"/>
      <c r="BD56" s="16"/>
      <c r="BE56" s="17"/>
      <c r="BF56" s="17"/>
      <c r="BG56" s="17"/>
      <c r="BH56" s="18"/>
      <c r="BI56" s="48"/>
      <c r="BJ56" s="17"/>
      <c r="BK56" s="17"/>
      <c r="BL56" s="45"/>
      <c r="BM56" s="16"/>
      <c r="BN56" s="17"/>
      <c r="BO56" s="17"/>
      <c r="BP56" s="18"/>
    </row>
    <row r="57" spans="2:68">
      <c r="B57" s="19">
        <v>3</v>
      </c>
      <c r="C57" s="20"/>
      <c r="D57" s="20"/>
      <c r="E57" s="21"/>
      <c r="F57" s="28" t="s">
        <v>98</v>
      </c>
      <c r="G57" s="29"/>
      <c r="H57" s="29"/>
      <c r="I57" s="30"/>
      <c r="J57" s="36"/>
      <c r="K57" s="56"/>
      <c r="L57" s="56"/>
      <c r="M57" s="56"/>
      <c r="N57" s="56"/>
      <c r="O57" s="36"/>
      <c r="P57" s="28"/>
      <c r="Q57" s="19"/>
      <c r="R57" s="20"/>
      <c r="S57" s="20"/>
      <c r="T57" s="20"/>
      <c r="U57" s="44"/>
      <c r="V57" s="19"/>
      <c r="W57" s="20"/>
      <c r="X57" s="20"/>
      <c r="Y57" s="21"/>
      <c r="Z57" s="47"/>
      <c r="AA57" s="20"/>
      <c r="AB57" s="20"/>
      <c r="AC57" s="20"/>
      <c r="AD57" s="44"/>
      <c r="AE57" s="19"/>
      <c r="AF57" s="20"/>
      <c r="AG57" s="20"/>
      <c r="AH57" s="21"/>
      <c r="AI57" s="47"/>
      <c r="AJ57" s="20"/>
      <c r="AK57" s="20"/>
      <c r="AL57" s="44"/>
      <c r="AM57" s="19"/>
      <c r="AN57" s="20"/>
      <c r="AO57" s="20"/>
      <c r="AP57" s="20"/>
      <c r="AQ57" s="21"/>
      <c r="AR57" s="47"/>
      <c r="AS57" s="20"/>
      <c r="AT57" s="20"/>
      <c r="AU57" s="44"/>
      <c r="AV57" s="19"/>
      <c r="AW57" s="20"/>
      <c r="AX57" s="20"/>
      <c r="AY57" s="21"/>
      <c r="AZ57" s="47"/>
      <c r="BA57" s="20"/>
      <c r="BB57" s="20"/>
      <c r="BC57" s="44"/>
      <c r="BD57" s="19"/>
      <c r="BE57" s="20"/>
      <c r="BF57" s="20"/>
      <c r="BG57" s="20"/>
      <c r="BH57" s="21"/>
      <c r="BI57" s="47"/>
      <c r="BJ57" s="20"/>
      <c r="BK57" s="20"/>
      <c r="BL57" s="44"/>
      <c r="BM57" s="19"/>
      <c r="BN57" s="20"/>
      <c r="BO57" s="20"/>
      <c r="BP57" s="21"/>
    </row>
    <row r="58" spans="2:68">
      <c r="B58" s="16"/>
      <c r="C58" s="17">
        <v>1</v>
      </c>
      <c r="D58" s="17"/>
      <c r="E58" s="18"/>
      <c r="F58" s="31"/>
      <c r="G58" s="32" t="s">
        <v>14</v>
      </c>
      <c r="H58" s="32"/>
      <c r="I58" s="33"/>
      <c r="J58" s="37" t="s">
        <v>112</v>
      </c>
      <c r="K58" s="55">
        <v>42776</v>
      </c>
      <c r="L58" s="55">
        <v>42818</v>
      </c>
      <c r="M58" s="55"/>
      <c r="N58" s="55"/>
      <c r="O58" s="37"/>
      <c r="P58" s="31"/>
      <c r="Q58" s="16"/>
      <c r="R58" s="17"/>
      <c r="S58" s="17"/>
      <c r="T58" s="17"/>
      <c r="U58" s="45"/>
      <c r="V58" s="16"/>
      <c r="W58" s="17"/>
      <c r="X58" s="17"/>
      <c r="Y58" s="18"/>
      <c r="Z58" s="48"/>
      <c r="AA58" s="17"/>
      <c r="AB58" s="17"/>
      <c r="AC58" s="17"/>
      <c r="AD58" s="45"/>
      <c r="AE58" s="16"/>
      <c r="AF58" s="17"/>
      <c r="AG58" s="17"/>
      <c r="AH58" s="18"/>
      <c r="AI58" s="48"/>
      <c r="AJ58" s="17"/>
      <c r="AK58" s="17"/>
      <c r="AL58" s="45"/>
      <c r="AM58" s="16"/>
      <c r="AN58" s="17"/>
      <c r="AO58" s="17"/>
      <c r="AP58" s="17"/>
      <c r="AQ58" s="18"/>
      <c r="AR58" s="48"/>
      <c r="AS58" s="17"/>
      <c r="AT58" s="17"/>
      <c r="AU58" s="45"/>
      <c r="AV58" s="16"/>
      <c r="AW58" s="17"/>
      <c r="AX58" s="17"/>
      <c r="AY58" s="18"/>
      <c r="AZ58" s="48"/>
      <c r="BA58" s="17"/>
      <c r="BB58" s="17"/>
      <c r="BC58" s="45"/>
      <c r="BD58" s="16"/>
      <c r="BE58" s="17"/>
      <c r="BF58" s="17"/>
      <c r="BG58" s="17"/>
      <c r="BH58" s="18"/>
      <c r="BI58" s="48"/>
      <c r="BJ58" s="17"/>
      <c r="BK58" s="17"/>
      <c r="BL58" s="45"/>
      <c r="BM58" s="16"/>
      <c r="BN58" s="17"/>
      <c r="BO58" s="17"/>
      <c r="BP58" s="18"/>
    </row>
    <row r="59" spans="2:68">
      <c r="B59" s="16"/>
      <c r="C59" s="17">
        <v>2</v>
      </c>
      <c r="D59" s="17"/>
      <c r="E59" s="18"/>
      <c r="F59" s="31"/>
      <c r="G59" s="32" t="s">
        <v>16</v>
      </c>
      <c r="H59" s="32"/>
      <c r="I59" s="33"/>
      <c r="J59" s="37" t="s">
        <v>113</v>
      </c>
      <c r="K59" s="55">
        <v>42821</v>
      </c>
      <c r="L59" s="55">
        <v>42832</v>
      </c>
      <c r="M59" s="55"/>
      <c r="N59" s="55"/>
      <c r="O59" s="37"/>
      <c r="P59" s="31"/>
      <c r="Q59" s="16"/>
      <c r="R59" s="17"/>
      <c r="S59" s="17"/>
      <c r="T59" s="17"/>
      <c r="U59" s="45"/>
      <c r="V59" s="16"/>
      <c r="W59" s="17"/>
      <c r="X59" s="17"/>
      <c r="Y59" s="18"/>
      <c r="Z59" s="48"/>
      <c r="AA59" s="17"/>
      <c r="AB59" s="17"/>
      <c r="AC59" s="17"/>
      <c r="AD59" s="45"/>
      <c r="AE59" s="16"/>
      <c r="AF59" s="17"/>
      <c r="AG59" s="17"/>
      <c r="AH59" s="18"/>
      <c r="AI59" s="48"/>
      <c r="AJ59" s="17"/>
      <c r="AK59" s="17"/>
      <c r="AL59" s="45"/>
      <c r="AM59" s="16"/>
      <c r="AN59" s="17"/>
      <c r="AO59" s="17"/>
      <c r="AP59" s="17"/>
      <c r="AQ59" s="18"/>
      <c r="AR59" s="48"/>
      <c r="AS59" s="17"/>
      <c r="AT59" s="17"/>
      <c r="AU59" s="45"/>
      <c r="AV59" s="16"/>
      <c r="AW59" s="17"/>
      <c r="AX59" s="17"/>
      <c r="AY59" s="18"/>
      <c r="AZ59" s="48"/>
      <c r="BA59" s="17"/>
      <c r="BB59" s="17"/>
      <c r="BC59" s="45"/>
      <c r="BD59" s="16"/>
      <c r="BE59" s="17"/>
      <c r="BF59" s="17"/>
      <c r="BG59" s="17"/>
      <c r="BH59" s="18"/>
      <c r="BI59" s="48"/>
      <c r="BJ59" s="17"/>
      <c r="BK59" s="17"/>
      <c r="BL59" s="45"/>
      <c r="BM59" s="16"/>
      <c r="BN59" s="17"/>
      <c r="BO59" s="17"/>
      <c r="BP59" s="18"/>
    </row>
    <row r="60" spans="2:68">
      <c r="B60" s="16"/>
      <c r="C60" s="17">
        <v>3</v>
      </c>
      <c r="D60" s="17"/>
      <c r="E60" s="18"/>
      <c r="F60" s="31"/>
      <c r="G60" s="32" t="s">
        <v>99</v>
      </c>
      <c r="H60" s="32"/>
      <c r="I60" s="33"/>
      <c r="J60" s="37" t="s">
        <v>110</v>
      </c>
      <c r="K60" s="55">
        <v>42835</v>
      </c>
      <c r="L60" s="55">
        <v>42846</v>
      </c>
      <c r="M60" s="55"/>
      <c r="N60" s="55"/>
      <c r="O60" s="37"/>
      <c r="P60" s="31"/>
      <c r="Q60" s="16"/>
      <c r="R60" s="17"/>
      <c r="S60" s="17"/>
      <c r="T60" s="17"/>
      <c r="U60" s="45"/>
      <c r="V60" s="16"/>
      <c r="W60" s="17"/>
      <c r="X60" s="17"/>
      <c r="Y60" s="18"/>
      <c r="Z60" s="48"/>
      <c r="AA60" s="17"/>
      <c r="AB60" s="17"/>
      <c r="AC60" s="17"/>
      <c r="AD60" s="45"/>
      <c r="AE60" s="16"/>
      <c r="AF60" s="17"/>
      <c r="AG60" s="17"/>
      <c r="AH60" s="18"/>
      <c r="AI60" s="48"/>
      <c r="AJ60" s="17"/>
      <c r="AK60" s="17"/>
      <c r="AL60" s="45"/>
      <c r="AM60" s="16"/>
      <c r="AN60" s="17"/>
      <c r="AO60" s="17"/>
      <c r="AP60" s="17"/>
      <c r="AQ60" s="18"/>
      <c r="AR60" s="48"/>
      <c r="AS60" s="17"/>
      <c r="AT60" s="17"/>
      <c r="AU60" s="45"/>
      <c r="AV60" s="16"/>
      <c r="AW60" s="17"/>
      <c r="AX60" s="17"/>
      <c r="AY60" s="18"/>
      <c r="AZ60" s="48"/>
      <c r="BA60" s="17"/>
      <c r="BB60" s="17"/>
      <c r="BC60" s="45"/>
      <c r="BD60" s="16"/>
      <c r="BE60" s="17"/>
      <c r="BF60" s="17"/>
      <c r="BG60" s="17"/>
      <c r="BH60" s="18"/>
      <c r="BI60" s="48"/>
      <c r="BJ60" s="17"/>
      <c r="BK60" s="17"/>
      <c r="BL60" s="45"/>
      <c r="BM60" s="16"/>
      <c r="BN60" s="17"/>
      <c r="BO60" s="17"/>
      <c r="BP60" s="18"/>
    </row>
    <row r="61" spans="2:68">
      <c r="B61" s="16"/>
      <c r="C61" s="17">
        <v>4</v>
      </c>
      <c r="D61" s="17"/>
      <c r="E61" s="18"/>
      <c r="F61" s="31"/>
      <c r="G61" s="32" t="s">
        <v>100</v>
      </c>
      <c r="H61" s="32"/>
      <c r="I61" s="33"/>
      <c r="J61" s="37" t="s">
        <v>110</v>
      </c>
      <c r="K61" s="55">
        <v>42835</v>
      </c>
      <c r="L61" s="55">
        <v>42846</v>
      </c>
      <c r="M61" s="55"/>
      <c r="N61" s="55"/>
      <c r="O61" s="37"/>
      <c r="P61" s="31"/>
      <c r="Q61" s="16"/>
      <c r="R61" s="17"/>
      <c r="S61" s="17"/>
      <c r="T61" s="17"/>
      <c r="U61" s="45"/>
      <c r="V61" s="16"/>
      <c r="W61" s="17"/>
      <c r="X61" s="17"/>
      <c r="Y61" s="18"/>
      <c r="Z61" s="48"/>
      <c r="AA61" s="17"/>
      <c r="AB61" s="17"/>
      <c r="AC61" s="17"/>
      <c r="AD61" s="45"/>
      <c r="AE61" s="16"/>
      <c r="AF61" s="17"/>
      <c r="AG61" s="17"/>
      <c r="AH61" s="18"/>
      <c r="AI61" s="48"/>
      <c r="AJ61" s="17"/>
      <c r="AK61" s="17"/>
      <c r="AL61" s="45"/>
      <c r="AM61" s="31"/>
      <c r="AN61" s="32"/>
      <c r="AO61" s="32"/>
      <c r="AP61" s="32"/>
      <c r="AQ61" s="33"/>
      <c r="AR61" s="32"/>
      <c r="AS61" s="32"/>
      <c r="AT61" s="32"/>
      <c r="AU61" s="32"/>
      <c r="AV61" s="31"/>
      <c r="AW61" s="32"/>
      <c r="AX61" s="32"/>
      <c r="AY61" s="33"/>
      <c r="AZ61" s="32"/>
      <c r="BA61" s="32"/>
      <c r="BB61" s="32"/>
      <c r="BC61" s="32"/>
      <c r="BD61" s="31"/>
      <c r="BE61" s="32"/>
      <c r="BF61" s="32"/>
      <c r="BG61" s="32"/>
      <c r="BH61" s="33"/>
      <c r="BI61" s="32"/>
      <c r="BJ61" s="32"/>
      <c r="BK61" s="32"/>
      <c r="BL61" s="32"/>
      <c r="BM61" s="31"/>
      <c r="BN61" s="32"/>
      <c r="BO61" s="32"/>
      <c r="BP61" s="33"/>
    </row>
    <row r="62" spans="2:68">
      <c r="B62" s="16"/>
      <c r="C62" s="17">
        <v>5</v>
      </c>
      <c r="D62" s="17"/>
      <c r="E62" s="18"/>
      <c r="F62" s="31"/>
      <c r="G62" s="32" t="s">
        <v>303</v>
      </c>
      <c r="H62" s="32"/>
      <c r="I62" s="33"/>
      <c r="J62" s="82" t="s">
        <v>304</v>
      </c>
      <c r="K62" s="55">
        <v>42849</v>
      </c>
      <c r="L62" s="55">
        <v>42853</v>
      </c>
      <c r="M62" s="55"/>
      <c r="N62" s="55"/>
      <c r="O62" s="82"/>
      <c r="P62" s="31"/>
      <c r="Q62" s="16"/>
      <c r="R62" s="17"/>
      <c r="S62" s="17"/>
      <c r="T62" s="17"/>
      <c r="U62" s="45"/>
      <c r="V62" s="16"/>
      <c r="W62" s="17"/>
      <c r="X62" s="17"/>
      <c r="Y62" s="18"/>
      <c r="Z62" s="48"/>
      <c r="AA62" s="17"/>
      <c r="AB62" s="17"/>
      <c r="AC62" s="17"/>
      <c r="AD62" s="45"/>
      <c r="AE62" s="16"/>
      <c r="AF62" s="17"/>
      <c r="AG62" s="17"/>
      <c r="AH62" s="18"/>
      <c r="AI62" s="48"/>
      <c r="AJ62" s="17"/>
      <c r="AK62" s="17"/>
      <c r="AL62" s="45"/>
      <c r="AM62" s="31"/>
      <c r="AN62" s="32"/>
      <c r="AO62" s="32"/>
      <c r="AP62" s="32"/>
      <c r="AQ62" s="33"/>
      <c r="AR62" s="32"/>
      <c r="AS62" s="32"/>
      <c r="AT62" s="32"/>
      <c r="AU62" s="32"/>
      <c r="AV62" s="31"/>
      <c r="AW62" s="32"/>
      <c r="AX62" s="32"/>
      <c r="AY62" s="33"/>
      <c r="AZ62" s="32"/>
      <c r="BA62" s="32"/>
      <c r="BB62" s="32"/>
      <c r="BC62" s="32"/>
      <c r="BD62" s="31"/>
      <c r="BE62" s="32"/>
      <c r="BF62" s="32"/>
      <c r="BG62" s="32"/>
      <c r="BH62" s="33"/>
      <c r="BI62" s="32"/>
      <c r="BJ62" s="32"/>
      <c r="BK62" s="32"/>
      <c r="BL62" s="32"/>
      <c r="BM62" s="31"/>
      <c r="BN62" s="32"/>
      <c r="BO62" s="32"/>
      <c r="BP62" s="33"/>
    </row>
    <row r="63" spans="2:68">
      <c r="B63" s="19">
        <v>4</v>
      </c>
      <c r="C63" s="20"/>
      <c r="D63" s="20"/>
      <c r="E63" s="21"/>
      <c r="F63" s="28" t="s">
        <v>101</v>
      </c>
      <c r="G63" s="29"/>
      <c r="H63" s="29"/>
      <c r="I63" s="30"/>
      <c r="J63" s="36"/>
      <c r="K63" s="56"/>
      <c r="L63" s="56"/>
      <c r="M63" s="56"/>
      <c r="N63" s="56"/>
      <c r="O63" s="36"/>
      <c r="P63" s="28"/>
      <c r="Q63" s="19"/>
      <c r="R63" s="20"/>
      <c r="S63" s="20"/>
      <c r="T63" s="20"/>
      <c r="U63" s="44"/>
      <c r="V63" s="19"/>
      <c r="W63" s="20"/>
      <c r="X63" s="20"/>
      <c r="Y63" s="21"/>
      <c r="Z63" s="47"/>
      <c r="AA63" s="20"/>
      <c r="AB63" s="20"/>
      <c r="AC63" s="20"/>
      <c r="AD63" s="44"/>
      <c r="AE63" s="19"/>
      <c r="AF63" s="20"/>
      <c r="AG63" s="20"/>
      <c r="AH63" s="21"/>
      <c r="AI63" s="47"/>
      <c r="AJ63" s="20"/>
      <c r="AK63" s="20"/>
      <c r="AL63" s="44"/>
      <c r="AM63" s="19"/>
      <c r="AN63" s="20"/>
      <c r="AO63" s="20"/>
      <c r="AP63" s="20"/>
      <c r="AQ63" s="21"/>
      <c r="AR63" s="47"/>
      <c r="AS63" s="20"/>
      <c r="AT63" s="20"/>
      <c r="AU63" s="44"/>
      <c r="AV63" s="19"/>
      <c r="AW63" s="20"/>
      <c r="AX63" s="20"/>
      <c r="AY63" s="21"/>
      <c r="AZ63" s="47"/>
      <c r="BA63" s="20"/>
      <c r="BB63" s="20"/>
      <c r="BC63" s="44"/>
      <c r="BD63" s="19"/>
      <c r="BE63" s="20"/>
      <c r="BF63" s="20"/>
      <c r="BG63" s="20"/>
      <c r="BH63" s="21"/>
      <c r="BI63" s="47"/>
      <c r="BJ63" s="20"/>
      <c r="BK63" s="20"/>
      <c r="BL63" s="44"/>
      <c r="BM63" s="19"/>
      <c r="BN63" s="20"/>
      <c r="BO63" s="20"/>
      <c r="BP63" s="21"/>
    </row>
    <row r="64" spans="2:68">
      <c r="B64" s="16"/>
      <c r="C64" s="17">
        <v>1</v>
      </c>
      <c r="D64" s="17"/>
      <c r="E64" s="18"/>
      <c r="F64" s="31"/>
      <c r="G64" s="32" t="s">
        <v>102</v>
      </c>
      <c r="H64" s="32"/>
      <c r="I64" s="33"/>
      <c r="J64" s="37" t="s">
        <v>304</v>
      </c>
      <c r="K64" s="55">
        <v>42737</v>
      </c>
      <c r="L64" s="55">
        <v>42750</v>
      </c>
      <c r="M64" s="55"/>
      <c r="N64" s="55"/>
      <c r="O64" s="37"/>
      <c r="P64" s="31"/>
      <c r="Q64" s="16"/>
      <c r="R64" s="17"/>
      <c r="S64" s="17"/>
      <c r="T64" s="17"/>
      <c r="U64" s="45"/>
      <c r="V64" s="16"/>
      <c r="W64" s="17"/>
      <c r="X64" s="17"/>
      <c r="Y64" s="18"/>
      <c r="Z64" s="48"/>
      <c r="AA64" s="17"/>
      <c r="AB64" s="17"/>
      <c r="AC64" s="17"/>
      <c r="AD64" s="45"/>
      <c r="AE64" s="16"/>
      <c r="AF64" s="17"/>
      <c r="AG64" s="17"/>
      <c r="AH64" s="18"/>
      <c r="AI64" s="48"/>
      <c r="AJ64" s="17"/>
      <c r="AK64" s="17"/>
      <c r="AL64" s="45"/>
      <c r="AM64" s="16"/>
      <c r="AN64" s="17"/>
      <c r="AO64" s="17"/>
      <c r="AP64" s="17"/>
      <c r="AQ64" s="18"/>
      <c r="AR64" s="48"/>
      <c r="AS64" s="17"/>
      <c r="AT64" s="17"/>
      <c r="AU64" s="45"/>
      <c r="AV64" s="16"/>
      <c r="AW64" s="17"/>
      <c r="AX64" s="17"/>
      <c r="AY64" s="18"/>
      <c r="AZ64" s="48"/>
      <c r="BA64" s="17"/>
      <c r="BB64" s="17"/>
      <c r="BC64" s="45"/>
      <c r="BD64" s="16"/>
      <c r="BE64" s="17"/>
      <c r="BF64" s="17"/>
      <c r="BG64" s="17"/>
      <c r="BH64" s="18"/>
      <c r="BI64" s="48"/>
      <c r="BJ64" s="17"/>
      <c r="BK64" s="17"/>
      <c r="BL64" s="45"/>
      <c r="BM64" s="16"/>
      <c r="BN64" s="17"/>
      <c r="BO64" s="17"/>
      <c r="BP64" s="18"/>
    </row>
    <row r="65" spans="2:68">
      <c r="B65" s="16"/>
      <c r="C65" s="17">
        <v>2</v>
      </c>
      <c r="D65" s="17"/>
      <c r="E65" s="18"/>
      <c r="F65" s="31"/>
      <c r="G65" s="32" t="s">
        <v>103</v>
      </c>
      <c r="H65" s="32" t="s">
        <v>102</v>
      </c>
      <c r="I65" s="33"/>
      <c r="J65" s="37" t="s">
        <v>110</v>
      </c>
      <c r="K65" s="55">
        <v>42744</v>
      </c>
      <c r="L65" s="55">
        <v>42757</v>
      </c>
      <c r="M65" s="55"/>
      <c r="N65" s="55"/>
      <c r="O65" s="37"/>
      <c r="P65" s="31"/>
      <c r="Q65" s="16"/>
      <c r="R65" s="17"/>
      <c r="S65" s="17"/>
      <c r="T65" s="17"/>
      <c r="U65" s="45"/>
      <c r="V65" s="16"/>
      <c r="W65" s="17"/>
      <c r="X65" s="17"/>
      <c r="Y65" s="18"/>
      <c r="Z65" s="48"/>
      <c r="AA65" s="17"/>
      <c r="AB65" s="17"/>
      <c r="AC65" s="17"/>
      <c r="AD65" s="45"/>
      <c r="AE65" s="16"/>
      <c r="AF65" s="17"/>
      <c r="AG65" s="17"/>
      <c r="AH65" s="18"/>
      <c r="AI65" s="48"/>
      <c r="AJ65" s="17"/>
      <c r="AK65" s="17"/>
      <c r="AL65" s="45"/>
      <c r="AM65" s="16"/>
      <c r="AN65" s="17"/>
      <c r="AO65" s="17"/>
      <c r="AP65" s="17"/>
      <c r="AQ65" s="18"/>
      <c r="AR65" s="48"/>
      <c r="AS65" s="17"/>
      <c r="AT65" s="17"/>
      <c r="AU65" s="45"/>
      <c r="AV65" s="16"/>
      <c r="AW65" s="17"/>
      <c r="AX65" s="17"/>
      <c r="AY65" s="18"/>
      <c r="AZ65" s="48"/>
      <c r="BA65" s="17"/>
      <c r="BB65" s="17"/>
      <c r="BC65" s="45"/>
      <c r="BD65" s="16"/>
      <c r="BE65" s="17"/>
      <c r="BF65" s="17"/>
      <c r="BG65" s="17"/>
      <c r="BH65" s="18"/>
      <c r="BI65" s="48"/>
      <c r="BJ65" s="17"/>
      <c r="BK65" s="17"/>
      <c r="BL65" s="45"/>
      <c r="BM65" s="16"/>
      <c r="BN65" s="17"/>
      <c r="BO65" s="17"/>
      <c r="BP65" s="18"/>
    </row>
    <row r="66" spans="2:68">
      <c r="B66" s="16"/>
      <c r="C66" s="17">
        <v>3</v>
      </c>
      <c r="D66" s="17"/>
      <c r="E66" s="18"/>
      <c r="F66" s="31"/>
      <c r="G66" s="32" t="s">
        <v>104</v>
      </c>
      <c r="H66" s="32"/>
      <c r="I66" s="33"/>
      <c r="J66" s="37" t="s">
        <v>110</v>
      </c>
      <c r="K66" s="55">
        <v>42751</v>
      </c>
      <c r="L66" s="55">
        <v>42764</v>
      </c>
      <c r="M66" s="55"/>
      <c r="N66" s="55"/>
      <c r="O66" s="37"/>
      <c r="P66" s="31"/>
      <c r="Q66" s="16"/>
      <c r="R66" s="17"/>
      <c r="S66" s="17"/>
      <c r="T66" s="17"/>
      <c r="U66" s="45"/>
      <c r="V66" s="16"/>
      <c r="W66" s="17"/>
      <c r="X66" s="17"/>
      <c r="Y66" s="18"/>
      <c r="Z66" s="48"/>
      <c r="AA66" s="17"/>
      <c r="AB66" s="17"/>
      <c r="AC66" s="17"/>
      <c r="AD66" s="45"/>
      <c r="AE66" s="16"/>
      <c r="AF66" s="17"/>
      <c r="AG66" s="17"/>
      <c r="AH66" s="18"/>
      <c r="AI66" s="48"/>
      <c r="AJ66" s="17"/>
      <c r="AK66" s="17"/>
      <c r="AL66" s="45"/>
      <c r="AM66" s="16"/>
      <c r="AN66" s="17"/>
      <c r="AO66" s="17"/>
      <c r="AP66" s="17"/>
      <c r="AQ66" s="18"/>
      <c r="AR66" s="48"/>
      <c r="AS66" s="17"/>
      <c r="AT66" s="17"/>
      <c r="AU66" s="45"/>
      <c r="AV66" s="16"/>
      <c r="AW66" s="17"/>
      <c r="AX66" s="17"/>
      <c r="AY66" s="18"/>
      <c r="AZ66" s="48"/>
      <c r="BA66" s="17"/>
      <c r="BB66" s="17"/>
      <c r="BC66" s="45"/>
      <c r="BD66" s="16"/>
      <c r="BE66" s="17"/>
      <c r="BF66" s="17"/>
      <c r="BG66" s="17"/>
      <c r="BH66" s="18"/>
      <c r="BI66" s="48"/>
      <c r="BJ66" s="17"/>
      <c r="BK66" s="17"/>
      <c r="BL66" s="45"/>
      <c r="BM66" s="16"/>
      <c r="BN66" s="17"/>
      <c r="BO66" s="17"/>
      <c r="BP66" s="18"/>
    </row>
    <row r="67" spans="2:68">
      <c r="B67" s="16"/>
      <c r="C67" s="17">
        <v>4</v>
      </c>
      <c r="D67" s="17"/>
      <c r="E67" s="18"/>
      <c r="F67" s="31"/>
      <c r="G67" s="32" t="s">
        <v>105</v>
      </c>
      <c r="H67" s="32"/>
      <c r="I67" s="33"/>
      <c r="J67" s="37" t="s">
        <v>110</v>
      </c>
      <c r="K67" s="55">
        <v>42758</v>
      </c>
      <c r="L67" s="55">
        <v>42771</v>
      </c>
      <c r="M67" s="55"/>
      <c r="N67" s="55"/>
      <c r="O67" s="37"/>
      <c r="P67" s="31"/>
      <c r="Q67" s="16"/>
      <c r="R67" s="17"/>
      <c r="S67" s="17"/>
      <c r="T67" s="17"/>
      <c r="U67" s="45"/>
      <c r="V67" s="16"/>
      <c r="W67" s="17"/>
      <c r="X67" s="17"/>
      <c r="Y67" s="18"/>
      <c r="Z67" s="48"/>
      <c r="AA67" s="17"/>
      <c r="AB67" s="17"/>
      <c r="AC67" s="17"/>
      <c r="AD67" s="45"/>
      <c r="AE67" s="16"/>
      <c r="AF67" s="17"/>
      <c r="AG67" s="17"/>
      <c r="AH67" s="18"/>
      <c r="AI67" s="48"/>
      <c r="AJ67" s="17"/>
      <c r="AK67" s="17"/>
      <c r="AL67" s="45"/>
      <c r="AM67" s="16"/>
      <c r="AN67" s="17"/>
      <c r="AO67" s="17"/>
      <c r="AP67" s="17"/>
      <c r="AQ67" s="18"/>
      <c r="AR67" s="48"/>
      <c r="AS67" s="17"/>
      <c r="AT67" s="17"/>
      <c r="AU67" s="45"/>
      <c r="AV67" s="16"/>
      <c r="AW67" s="17"/>
      <c r="AX67" s="17"/>
      <c r="AY67" s="18"/>
      <c r="AZ67" s="48"/>
      <c r="BA67" s="17"/>
      <c r="BB67" s="17"/>
      <c r="BC67" s="45"/>
      <c r="BD67" s="16"/>
      <c r="BE67" s="17"/>
      <c r="BF67" s="17"/>
      <c r="BG67" s="17"/>
      <c r="BH67" s="18"/>
      <c r="BI67" s="48"/>
      <c r="BJ67" s="17"/>
      <c r="BK67" s="17"/>
      <c r="BL67" s="45"/>
      <c r="BM67" s="16"/>
      <c r="BN67" s="17"/>
      <c r="BO67" s="17"/>
      <c r="BP67" s="18"/>
    </row>
    <row r="68" spans="2:68">
      <c r="B68" s="16"/>
      <c r="C68" s="17">
        <v>5</v>
      </c>
      <c r="D68" s="17"/>
      <c r="E68" s="18"/>
      <c r="F68" s="31"/>
      <c r="G68" s="32" t="s">
        <v>106</v>
      </c>
      <c r="H68" s="32"/>
      <c r="I68" s="33"/>
      <c r="J68" s="37" t="s">
        <v>110</v>
      </c>
      <c r="K68" s="55">
        <v>42765</v>
      </c>
      <c r="L68" s="55">
        <v>42778</v>
      </c>
      <c r="M68" s="55"/>
      <c r="N68" s="55"/>
      <c r="O68" s="37"/>
      <c r="P68" s="31"/>
      <c r="Q68" s="16"/>
      <c r="R68" s="17"/>
      <c r="S68" s="17"/>
      <c r="T68" s="17"/>
      <c r="U68" s="45"/>
      <c r="V68" s="16"/>
      <c r="W68" s="17"/>
      <c r="X68" s="17"/>
      <c r="Y68" s="18"/>
      <c r="Z68" s="48"/>
      <c r="AA68" s="17"/>
      <c r="AB68" s="17"/>
      <c r="AC68" s="17"/>
      <c r="AD68" s="45"/>
      <c r="AE68" s="16"/>
      <c r="AF68" s="17"/>
      <c r="AG68" s="17"/>
      <c r="AH68" s="18"/>
      <c r="AI68" s="48"/>
      <c r="AJ68" s="17"/>
      <c r="AK68" s="17"/>
      <c r="AL68" s="45"/>
      <c r="AM68" s="16"/>
      <c r="AN68" s="17"/>
      <c r="AO68" s="17"/>
      <c r="AP68" s="17"/>
      <c r="AQ68" s="18"/>
      <c r="AR68" s="48"/>
      <c r="AS68" s="17"/>
      <c r="AT68" s="17"/>
      <c r="AU68" s="45"/>
      <c r="AV68" s="16"/>
      <c r="AW68" s="17"/>
      <c r="AX68" s="17"/>
      <c r="AY68" s="18"/>
      <c r="AZ68" s="48"/>
      <c r="BA68" s="17"/>
      <c r="BB68" s="17"/>
      <c r="BC68" s="45"/>
      <c r="BD68" s="16"/>
      <c r="BE68" s="17"/>
      <c r="BF68" s="17"/>
      <c r="BG68" s="17"/>
      <c r="BH68" s="18"/>
      <c r="BI68" s="48"/>
      <c r="BJ68" s="17"/>
      <c r="BK68" s="17"/>
      <c r="BL68" s="45"/>
      <c r="BM68" s="16"/>
      <c r="BN68" s="17"/>
      <c r="BO68" s="17"/>
      <c r="BP68" s="18"/>
    </row>
    <row r="69" spans="2:68">
      <c r="B69" s="16"/>
      <c r="C69" s="17"/>
      <c r="D69" s="17"/>
      <c r="E69" s="18"/>
      <c r="F69" s="31"/>
      <c r="G69" s="32"/>
      <c r="H69" s="32"/>
      <c r="I69" s="33"/>
      <c r="J69" s="61"/>
      <c r="K69" s="55"/>
      <c r="L69" s="55"/>
      <c r="M69" s="55"/>
      <c r="N69" s="55"/>
      <c r="O69" s="61"/>
      <c r="P69" s="31"/>
      <c r="Q69" s="16"/>
      <c r="R69" s="17"/>
      <c r="S69" s="17"/>
      <c r="T69" s="17"/>
      <c r="U69" s="45"/>
      <c r="V69" s="16"/>
      <c r="W69" s="17"/>
      <c r="X69" s="17"/>
      <c r="Y69" s="18"/>
      <c r="Z69" s="48"/>
      <c r="AA69" s="17"/>
      <c r="AB69" s="17"/>
      <c r="AC69" s="17"/>
      <c r="AD69" s="45"/>
      <c r="AE69" s="16"/>
      <c r="AF69" s="17"/>
      <c r="AG69" s="17"/>
      <c r="AH69" s="18"/>
      <c r="AI69" s="48"/>
      <c r="AJ69" s="17"/>
      <c r="AK69" s="17"/>
      <c r="AL69" s="45"/>
      <c r="AM69" s="16"/>
      <c r="AN69" s="17"/>
      <c r="AO69" s="17"/>
      <c r="AP69" s="17"/>
      <c r="AQ69" s="18"/>
      <c r="AR69" s="48"/>
      <c r="AS69" s="17"/>
      <c r="AT69" s="17"/>
      <c r="AU69" s="45"/>
      <c r="AV69" s="16"/>
      <c r="AW69" s="17"/>
      <c r="AX69" s="17"/>
      <c r="AY69" s="18"/>
      <c r="AZ69" s="48"/>
      <c r="BA69" s="17"/>
      <c r="BB69" s="17"/>
      <c r="BC69" s="45"/>
      <c r="BD69" s="16"/>
      <c r="BE69" s="17"/>
      <c r="BF69" s="17"/>
      <c r="BG69" s="17"/>
      <c r="BH69" s="18"/>
      <c r="BI69" s="48"/>
      <c r="BJ69" s="17"/>
      <c r="BK69" s="17"/>
      <c r="BL69" s="45"/>
      <c r="BM69" s="16"/>
      <c r="BN69" s="17"/>
      <c r="BO69" s="17"/>
      <c r="BP69" s="18"/>
    </row>
    <row r="70" spans="2:68">
      <c r="B70" s="19">
        <v>5</v>
      </c>
      <c r="C70" s="20"/>
      <c r="D70" s="20"/>
      <c r="E70" s="21"/>
      <c r="F70" s="28" t="s">
        <v>192</v>
      </c>
      <c r="G70" s="29"/>
      <c r="H70" s="29"/>
      <c r="I70" s="30"/>
      <c r="J70" s="36"/>
      <c r="K70" s="56"/>
      <c r="L70" s="56"/>
      <c r="M70" s="56"/>
      <c r="N70" s="56"/>
      <c r="O70" s="36"/>
      <c r="P70" s="28"/>
      <c r="Q70" s="19"/>
      <c r="R70" s="20"/>
      <c r="S70" s="20"/>
      <c r="T70" s="20"/>
      <c r="U70" s="44"/>
      <c r="V70" s="19"/>
      <c r="W70" s="20"/>
      <c r="X70" s="20"/>
      <c r="Y70" s="21"/>
      <c r="Z70" s="47"/>
      <c r="AA70" s="20"/>
      <c r="AB70" s="20"/>
      <c r="AC70" s="20"/>
      <c r="AD70" s="44"/>
      <c r="AE70" s="19"/>
      <c r="AF70" s="20"/>
      <c r="AG70" s="20"/>
      <c r="AH70" s="21"/>
      <c r="AI70" s="47"/>
      <c r="AJ70" s="20"/>
      <c r="AK70" s="20"/>
      <c r="AL70" s="44"/>
      <c r="AM70" s="19"/>
      <c r="AN70" s="20"/>
      <c r="AO70" s="20"/>
      <c r="AP70" s="20"/>
      <c r="AQ70" s="21"/>
      <c r="AR70" s="47"/>
      <c r="AS70" s="20"/>
      <c r="AT70" s="20"/>
      <c r="AU70" s="44"/>
      <c r="AV70" s="19"/>
      <c r="AW70" s="20"/>
      <c r="AX70" s="20"/>
      <c r="AY70" s="21"/>
      <c r="AZ70" s="47"/>
      <c r="BA70" s="20"/>
      <c r="BB70" s="20"/>
      <c r="BC70" s="44"/>
      <c r="BD70" s="19"/>
      <c r="BE70" s="20"/>
      <c r="BF70" s="20"/>
      <c r="BG70" s="20"/>
      <c r="BH70" s="21"/>
      <c r="BI70" s="47"/>
      <c r="BJ70" s="20"/>
      <c r="BK70" s="20"/>
      <c r="BL70" s="44"/>
      <c r="BM70" s="19"/>
      <c r="BN70" s="20"/>
      <c r="BO70" s="20"/>
      <c r="BP70" s="21"/>
    </row>
    <row r="71" spans="2:68">
      <c r="B71" s="16"/>
      <c r="C71" s="17">
        <v>1</v>
      </c>
      <c r="D71" s="17"/>
      <c r="E71" s="18"/>
      <c r="F71" s="31"/>
      <c r="G71" s="32" t="s">
        <v>214</v>
      </c>
      <c r="H71" s="32"/>
      <c r="I71" s="33"/>
      <c r="J71" s="37" t="s">
        <v>110</v>
      </c>
      <c r="K71" s="55"/>
      <c r="L71" s="55"/>
      <c r="M71" s="55"/>
      <c r="N71" s="55"/>
      <c r="O71" s="37"/>
      <c r="P71" s="31"/>
      <c r="Q71" s="16"/>
      <c r="R71" s="17"/>
      <c r="S71" s="17"/>
      <c r="T71" s="17"/>
      <c r="U71" s="45"/>
      <c r="V71" s="16"/>
      <c r="W71" s="17"/>
      <c r="X71" s="17"/>
      <c r="Y71" s="18"/>
      <c r="Z71" s="48"/>
      <c r="AA71" s="17"/>
      <c r="AB71" s="17"/>
      <c r="AC71" s="17"/>
      <c r="AD71" s="45"/>
      <c r="AE71" s="16"/>
      <c r="AF71" s="17"/>
      <c r="AG71" s="17"/>
      <c r="AH71" s="18"/>
      <c r="AI71" s="48"/>
      <c r="AJ71" s="17"/>
      <c r="AK71" s="17"/>
      <c r="AL71" s="45"/>
      <c r="AM71" s="16"/>
      <c r="AN71" s="17"/>
      <c r="AO71" s="17"/>
      <c r="AP71" s="17"/>
      <c r="AQ71" s="18"/>
      <c r="AR71" s="48"/>
      <c r="AS71" s="17"/>
      <c r="AT71" s="17"/>
      <c r="AU71" s="45"/>
      <c r="AV71" s="16"/>
      <c r="AW71" s="17"/>
      <c r="AX71" s="17"/>
      <c r="AY71" s="18"/>
      <c r="AZ71" s="48"/>
      <c r="BA71" s="17"/>
      <c r="BB71" s="17"/>
      <c r="BC71" s="45"/>
      <c r="BD71" s="16"/>
      <c r="BE71" s="17"/>
      <c r="BF71" s="17"/>
      <c r="BG71" s="17"/>
      <c r="BH71" s="18"/>
      <c r="BI71" s="48"/>
      <c r="BJ71" s="17"/>
      <c r="BK71" s="17"/>
      <c r="BL71" s="45"/>
      <c r="BM71" s="16"/>
      <c r="BN71" s="17"/>
      <c r="BO71" s="17"/>
      <c r="BP71" s="18"/>
    </row>
    <row r="72" spans="2:68">
      <c r="B72" s="16"/>
      <c r="C72" s="17">
        <v>2</v>
      </c>
      <c r="D72" s="17"/>
      <c r="E72" s="18"/>
      <c r="F72" s="31"/>
      <c r="G72" s="32" t="s">
        <v>204</v>
      </c>
      <c r="H72" s="32"/>
      <c r="I72" s="33"/>
      <c r="J72" s="37" t="s">
        <v>110</v>
      </c>
      <c r="K72" s="55"/>
      <c r="L72" s="55"/>
      <c r="M72" s="55"/>
      <c r="N72" s="55"/>
      <c r="O72" s="37"/>
      <c r="P72" s="31"/>
      <c r="Q72" s="16"/>
      <c r="R72" s="17"/>
      <c r="S72" s="17"/>
      <c r="T72" s="17"/>
      <c r="U72" s="45"/>
      <c r="V72" s="16"/>
      <c r="W72" s="17"/>
      <c r="X72" s="17"/>
      <c r="Y72" s="18"/>
      <c r="Z72" s="48"/>
      <c r="AA72" s="17"/>
      <c r="AB72" s="17"/>
      <c r="AC72" s="17"/>
      <c r="AD72" s="45"/>
      <c r="AE72" s="16"/>
      <c r="AF72" s="17"/>
      <c r="AG72" s="17"/>
      <c r="AH72" s="18"/>
      <c r="AI72" s="48"/>
      <c r="AJ72" s="17"/>
      <c r="AK72" s="17"/>
      <c r="AL72" s="45"/>
      <c r="AM72" s="16"/>
      <c r="AN72" s="17"/>
      <c r="AO72" s="17"/>
      <c r="AP72" s="17"/>
      <c r="AQ72" s="18"/>
      <c r="AR72" s="48"/>
      <c r="AS72" s="17"/>
      <c r="AT72" s="17"/>
      <c r="AU72" s="45"/>
      <c r="AV72" s="16"/>
      <c r="AW72" s="17"/>
      <c r="AX72" s="17"/>
      <c r="AY72" s="18"/>
      <c r="AZ72" s="48"/>
      <c r="BA72" s="17"/>
      <c r="BB72" s="17"/>
      <c r="BC72" s="45"/>
      <c r="BD72" s="16"/>
      <c r="BE72" s="17"/>
      <c r="BF72" s="17"/>
      <c r="BG72" s="17"/>
      <c r="BH72" s="18"/>
      <c r="BI72" s="48"/>
      <c r="BJ72" s="17"/>
      <c r="BK72" s="17"/>
      <c r="BL72" s="45"/>
      <c r="BM72" s="16"/>
      <c r="BN72" s="17"/>
      <c r="BO72" s="17"/>
      <c r="BP72" s="18"/>
    </row>
    <row r="73" spans="2:68">
      <c r="B73" s="16"/>
      <c r="C73" s="17">
        <v>3</v>
      </c>
      <c r="D73" s="17"/>
      <c r="E73" s="18"/>
      <c r="F73" s="31"/>
      <c r="G73" s="32" t="s">
        <v>203</v>
      </c>
      <c r="H73" s="32"/>
      <c r="I73" s="33"/>
      <c r="J73" s="37" t="s">
        <v>110</v>
      </c>
      <c r="K73" s="55"/>
      <c r="L73" s="55"/>
      <c r="M73" s="55"/>
      <c r="N73" s="55"/>
      <c r="O73" s="37"/>
      <c r="P73" s="31"/>
      <c r="Q73" s="16"/>
      <c r="R73" s="17"/>
      <c r="S73" s="17"/>
      <c r="T73" s="17"/>
      <c r="U73" s="45"/>
      <c r="V73" s="16"/>
      <c r="W73" s="17"/>
      <c r="X73" s="17"/>
      <c r="Y73" s="18"/>
      <c r="Z73" s="48"/>
      <c r="AA73" s="17"/>
      <c r="AB73" s="17"/>
      <c r="AC73" s="17"/>
      <c r="AD73" s="45"/>
      <c r="AE73" s="16"/>
      <c r="AF73" s="17"/>
      <c r="AG73" s="17"/>
      <c r="AH73" s="18"/>
      <c r="AI73" s="48"/>
      <c r="AJ73" s="17"/>
      <c r="AK73" s="17"/>
      <c r="AL73" s="45"/>
      <c r="AM73" s="16"/>
      <c r="AN73" s="17"/>
      <c r="AO73" s="17"/>
      <c r="AP73" s="17"/>
      <c r="AQ73" s="18"/>
      <c r="AR73" s="48"/>
      <c r="AS73" s="17"/>
      <c r="AT73" s="17"/>
      <c r="AU73" s="45"/>
      <c r="AV73" s="16"/>
      <c r="AW73" s="17"/>
      <c r="AX73" s="17"/>
      <c r="AY73" s="18"/>
      <c r="AZ73" s="48"/>
      <c r="BA73" s="17"/>
      <c r="BB73" s="17"/>
      <c r="BC73" s="45"/>
      <c r="BD73" s="16"/>
      <c r="BE73" s="17"/>
      <c r="BF73" s="17"/>
      <c r="BG73" s="17"/>
      <c r="BH73" s="18"/>
      <c r="BI73" s="48"/>
      <c r="BJ73" s="17"/>
      <c r="BK73" s="17"/>
      <c r="BL73" s="45"/>
      <c r="BM73" s="16"/>
      <c r="BN73" s="17"/>
      <c r="BO73" s="17"/>
      <c r="BP73" s="18"/>
    </row>
    <row r="74" spans="2:68">
      <c r="B74" s="16"/>
      <c r="C74" s="17">
        <v>4</v>
      </c>
      <c r="D74" s="17"/>
      <c r="E74" s="18"/>
      <c r="F74" s="31"/>
      <c r="G74" s="32" t="s">
        <v>202</v>
      </c>
      <c r="H74" s="32"/>
      <c r="I74" s="33"/>
      <c r="J74" s="37" t="s">
        <v>110</v>
      </c>
      <c r="K74" s="55"/>
      <c r="L74" s="55"/>
      <c r="M74" s="55"/>
      <c r="N74" s="55"/>
      <c r="O74" s="37"/>
      <c r="P74" s="31"/>
      <c r="Q74" s="16"/>
      <c r="R74" s="17"/>
      <c r="S74" s="17"/>
      <c r="T74" s="17"/>
      <c r="U74" s="45"/>
      <c r="V74" s="16"/>
      <c r="W74" s="17"/>
      <c r="X74" s="17"/>
      <c r="Y74" s="18"/>
      <c r="Z74" s="48"/>
      <c r="AA74" s="17"/>
      <c r="AB74" s="17"/>
      <c r="AC74" s="17"/>
      <c r="AD74" s="45"/>
      <c r="AE74" s="16"/>
      <c r="AF74" s="17"/>
      <c r="AG74" s="17"/>
      <c r="AH74" s="18"/>
      <c r="AI74" s="48"/>
      <c r="AJ74" s="17"/>
      <c r="AK74" s="17"/>
      <c r="AL74" s="45"/>
      <c r="AM74" s="16"/>
      <c r="AN74" s="17"/>
      <c r="AO74" s="17"/>
      <c r="AP74" s="17"/>
      <c r="AQ74" s="18"/>
      <c r="AR74" s="48"/>
      <c r="AS74" s="17"/>
      <c r="AT74" s="17"/>
      <c r="AU74" s="45"/>
      <c r="AV74" s="16"/>
      <c r="AW74" s="17"/>
      <c r="AX74" s="17"/>
      <c r="AY74" s="18"/>
      <c r="AZ74" s="48"/>
      <c r="BA74" s="17"/>
      <c r="BB74" s="17"/>
      <c r="BC74" s="45"/>
      <c r="BD74" s="16"/>
      <c r="BE74" s="17"/>
      <c r="BF74" s="17"/>
      <c r="BG74" s="17"/>
      <c r="BH74" s="18"/>
      <c r="BI74" s="48"/>
      <c r="BJ74" s="17"/>
      <c r="BK74" s="17"/>
      <c r="BL74" s="45"/>
      <c r="BM74" s="16"/>
      <c r="BN74" s="17"/>
      <c r="BO74" s="17"/>
      <c r="BP74" s="18"/>
    </row>
    <row r="75" spans="2:68">
      <c r="B75" s="19">
        <v>6</v>
      </c>
      <c r="C75" s="20"/>
      <c r="D75" s="20"/>
      <c r="E75" s="21"/>
      <c r="F75" s="28" t="s">
        <v>213</v>
      </c>
      <c r="G75" s="29"/>
      <c r="H75" s="29"/>
      <c r="I75" s="30"/>
      <c r="J75" s="36"/>
      <c r="K75" s="56"/>
      <c r="L75" s="56"/>
      <c r="M75" s="56"/>
      <c r="N75" s="56"/>
      <c r="O75" s="36"/>
      <c r="P75" s="28"/>
      <c r="Q75" s="19"/>
      <c r="R75" s="20"/>
      <c r="S75" s="20"/>
      <c r="T75" s="20"/>
      <c r="U75" s="44"/>
      <c r="V75" s="19"/>
      <c r="W75" s="20"/>
      <c r="X75" s="20"/>
      <c r="Y75" s="21"/>
      <c r="Z75" s="47"/>
      <c r="AA75" s="20"/>
      <c r="AB75" s="20"/>
      <c r="AC75" s="20"/>
      <c r="AD75" s="44"/>
      <c r="AE75" s="19"/>
      <c r="AF75" s="20"/>
      <c r="AG75" s="20"/>
      <c r="AH75" s="21"/>
      <c r="AI75" s="47"/>
      <c r="AJ75" s="20"/>
      <c r="AK75" s="20"/>
      <c r="AL75" s="44"/>
      <c r="AM75" s="19"/>
      <c r="AN75" s="20"/>
      <c r="AO75" s="20"/>
      <c r="AP75" s="20"/>
      <c r="AQ75" s="21"/>
      <c r="AR75" s="47"/>
      <c r="AS75" s="20"/>
      <c r="AT75" s="20"/>
      <c r="AU75" s="44"/>
      <c r="AV75" s="19"/>
      <c r="AW75" s="20"/>
      <c r="AX75" s="20"/>
      <c r="AY75" s="21"/>
      <c r="AZ75" s="47"/>
      <c r="BA75" s="20"/>
      <c r="BB75" s="20"/>
      <c r="BC75" s="44"/>
      <c r="BD75" s="19"/>
      <c r="BE75" s="20"/>
      <c r="BF75" s="20"/>
      <c r="BG75" s="20"/>
      <c r="BH75" s="21"/>
      <c r="BI75" s="47"/>
      <c r="BJ75" s="20"/>
      <c r="BK75" s="20"/>
      <c r="BL75" s="44"/>
      <c r="BM75" s="19"/>
      <c r="BN75" s="20"/>
      <c r="BO75" s="20"/>
      <c r="BP75" s="21"/>
    </row>
    <row r="76" spans="2:68">
      <c r="B76" s="16"/>
      <c r="C76" s="17">
        <v>1</v>
      </c>
      <c r="D76" s="17"/>
      <c r="E76" s="18"/>
      <c r="F76" s="31"/>
      <c r="G76" s="32" t="s">
        <v>210</v>
      </c>
      <c r="H76" s="32"/>
      <c r="I76" s="33"/>
      <c r="J76" s="61" t="s">
        <v>110</v>
      </c>
      <c r="K76" s="55"/>
      <c r="L76" s="55"/>
      <c r="M76" s="55"/>
      <c r="N76" s="55"/>
      <c r="O76" s="61"/>
      <c r="P76" s="31"/>
      <c r="Q76" s="16"/>
      <c r="R76" s="17"/>
      <c r="S76" s="17"/>
      <c r="T76" s="17"/>
      <c r="U76" s="45"/>
      <c r="V76" s="16"/>
      <c r="W76" s="17"/>
      <c r="X76" s="17"/>
      <c r="Y76" s="18"/>
      <c r="Z76" s="48"/>
      <c r="AA76" s="17"/>
      <c r="AB76" s="17"/>
      <c r="AC76" s="17"/>
      <c r="AD76" s="45"/>
      <c r="AE76" s="16"/>
      <c r="AF76" s="17"/>
      <c r="AG76" s="17"/>
      <c r="AH76" s="18"/>
      <c r="AI76" s="48"/>
      <c r="AJ76" s="17"/>
      <c r="AK76" s="17"/>
      <c r="AL76" s="45"/>
      <c r="AM76" s="16"/>
      <c r="AN76" s="17"/>
      <c r="AO76" s="17"/>
      <c r="AP76" s="17"/>
      <c r="AQ76" s="18"/>
      <c r="AR76" s="48"/>
      <c r="AS76" s="17"/>
      <c r="AT76" s="17"/>
      <c r="AU76" s="45"/>
      <c r="AV76" s="16"/>
      <c r="AW76" s="17"/>
      <c r="AX76" s="17"/>
      <c r="AY76" s="18"/>
      <c r="AZ76" s="48"/>
      <c r="BA76" s="17"/>
      <c r="BB76" s="17"/>
      <c r="BC76" s="45"/>
      <c r="BD76" s="16"/>
      <c r="BE76" s="17"/>
      <c r="BF76" s="17"/>
      <c r="BG76" s="17"/>
      <c r="BH76" s="18"/>
      <c r="BI76" s="48"/>
      <c r="BJ76" s="17"/>
      <c r="BK76" s="17"/>
      <c r="BL76" s="45"/>
      <c r="BM76" s="16"/>
      <c r="BN76" s="17"/>
      <c r="BO76" s="17"/>
      <c r="BP76" s="18"/>
    </row>
    <row r="77" spans="2:68">
      <c r="B77" s="16"/>
      <c r="C77" s="17">
        <v>2</v>
      </c>
      <c r="D77" s="17"/>
      <c r="E77" s="18"/>
      <c r="F77" s="31"/>
      <c r="G77" s="32" t="s">
        <v>211</v>
      </c>
      <c r="H77" s="32"/>
      <c r="I77" s="33"/>
      <c r="J77" s="61" t="s">
        <v>110</v>
      </c>
      <c r="K77" s="55"/>
      <c r="L77" s="55"/>
      <c r="M77" s="55"/>
      <c r="N77" s="55"/>
      <c r="O77" s="61"/>
      <c r="P77" s="31"/>
      <c r="Q77" s="16"/>
      <c r="R77" s="17"/>
      <c r="S77" s="17"/>
      <c r="T77" s="17"/>
      <c r="U77" s="45"/>
      <c r="V77" s="16"/>
      <c r="W77" s="17"/>
      <c r="X77" s="17"/>
      <c r="Y77" s="18"/>
      <c r="Z77" s="48"/>
      <c r="AA77" s="17"/>
      <c r="AB77" s="17"/>
      <c r="AC77" s="17"/>
      <c r="AD77" s="45"/>
      <c r="AE77" s="16"/>
      <c r="AF77" s="17"/>
      <c r="AG77" s="17"/>
      <c r="AH77" s="18"/>
      <c r="AI77" s="48"/>
      <c r="AJ77" s="17"/>
      <c r="AK77" s="17"/>
      <c r="AL77" s="45"/>
      <c r="AM77" s="16"/>
      <c r="AN77" s="17"/>
      <c r="AO77" s="17"/>
      <c r="AP77" s="17"/>
      <c r="AQ77" s="18"/>
      <c r="AR77" s="48"/>
      <c r="AS77" s="17"/>
      <c r="AT77" s="17"/>
      <c r="AU77" s="45"/>
      <c r="AV77" s="16"/>
      <c r="AW77" s="17"/>
      <c r="AX77" s="17"/>
      <c r="AY77" s="18"/>
      <c r="AZ77" s="48"/>
      <c r="BA77" s="17"/>
      <c r="BB77" s="17"/>
      <c r="BC77" s="45"/>
      <c r="BD77" s="16"/>
      <c r="BE77" s="17"/>
      <c r="BF77" s="17"/>
      <c r="BG77" s="17"/>
      <c r="BH77" s="18"/>
      <c r="BI77" s="48"/>
      <c r="BJ77" s="17"/>
      <c r="BK77" s="17"/>
      <c r="BL77" s="45"/>
      <c r="BM77" s="16"/>
      <c r="BN77" s="17"/>
      <c r="BO77" s="17"/>
      <c r="BP77" s="18"/>
    </row>
    <row r="78" spans="2:68">
      <c r="B78" s="16"/>
      <c r="C78" s="17">
        <v>3</v>
      </c>
      <c r="D78" s="17"/>
      <c r="E78" s="18"/>
      <c r="F78" s="31"/>
      <c r="G78" s="32" t="s">
        <v>212</v>
      </c>
      <c r="H78" s="32"/>
      <c r="I78" s="33"/>
      <c r="J78" s="61" t="s">
        <v>110</v>
      </c>
      <c r="K78" s="55"/>
      <c r="L78" s="55"/>
      <c r="M78" s="55"/>
      <c r="N78" s="55"/>
      <c r="O78" s="61"/>
      <c r="P78" s="31"/>
      <c r="Q78" s="16"/>
      <c r="R78" s="17"/>
      <c r="S78" s="17"/>
      <c r="T78" s="17"/>
      <c r="U78" s="45"/>
      <c r="V78" s="16"/>
      <c r="W78" s="17"/>
      <c r="X78" s="17"/>
      <c r="Y78" s="18"/>
      <c r="Z78" s="48"/>
      <c r="AA78" s="17"/>
      <c r="AB78" s="17"/>
      <c r="AC78" s="17"/>
      <c r="AD78" s="45"/>
      <c r="AE78" s="16"/>
      <c r="AF78" s="17"/>
      <c r="AG78" s="17"/>
      <c r="AH78" s="18"/>
      <c r="AI78" s="48"/>
      <c r="AJ78" s="17"/>
      <c r="AK78" s="17"/>
      <c r="AL78" s="45"/>
      <c r="AM78" s="16"/>
      <c r="AN78" s="17"/>
      <c r="AO78" s="17"/>
      <c r="AP78" s="17"/>
      <c r="AQ78" s="18"/>
      <c r="AR78" s="48"/>
      <c r="AS78" s="17"/>
      <c r="AT78" s="17"/>
      <c r="AU78" s="45"/>
      <c r="AV78" s="16"/>
      <c r="AW78" s="17"/>
      <c r="AX78" s="17"/>
      <c r="AY78" s="18"/>
      <c r="AZ78" s="48"/>
      <c r="BA78" s="17"/>
      <c r="BB78" s="17"/>
      <c r="BC78" s="45"/>
      <c r="BD78" s="16"/>
      <c r="BE78" s="17"/>
      <c r="BF78" s="17"/>
      <c r="BG78" s="17"/>
      <c r="BH78" s="18"/>
      <c r="BI78" s="48"/>
      <c r="BJ78" s="17"/>
      <c r="BK78" s="17"/>
      <c r="BL78" s="45"/>
      <c r="BM78" s="16"/>
      <c r="BN78" s="17"/>
      <c r="BO78" s="17"/>
      <c r="BP78" s="18"/>
    </row>
    <row r="79" spans="2:68">
      <c r="B79" s="16"/>
      <c r="C79" s="17"/>
      <c r="D79" s="17"/>
      <c r="E79" s="18"/>
      <c r="F79" s="31"/>
      <c r="G79" s="32"/>
      <c r="H79" s="32"/>
      <c r="I79" s="33"/>
      <c r="J79" s="61"/>
      <c r="K79" s="55"/>
      <c r="L79" s="55"/>
      <c r="M79" s="55"/>
      <c r="N79" s="55"/>
      <c r="O79" s="61"/>
      <c r="P79" s="31"/>
      <c r="Q79" s="16"/>
      <c r="R79" s="17"/>
      <c r="S79" s="17"/>
      <c r="T79" s="17"/>
      <c r="U79" s="45"/>
      <c r="V79" s="16"/>
      <c r="W79" s="17"/>
      <c r="X79" s="17"/>
      <c r="Y79" s="18"/>
      <c r="Z79" s="48"/>
      <c r="AA79" s="17"/>
      <c r="AB79" s="17"/>
      <c r="AC79" s="17"/>
      <c r="AD79" s="45"/>
      <c r="AE79" s="16"/>
      <c r="AF79" s="17"/>
      <c r="AG79" s="17"/>
      <c r="AH79" s="18"/>
      <c r="AI79" s="48"/>
      <c r="AJ79" s="17"/>
      <c r="AK79" s="17"/>
      <c r="AL79" s="45"/>
      <c r="AM79" s="16"/>
      <c r="AN79" s="17"/>
      <c r="AO79" s="17"/>
      <c r="AP79" s="17"/>
      <c r="AQ79" s="18"/>
      <c r="AR79" s="48"/>
      <c r="AS79" s="17"/>
      <c r="AT79" s="17"/>
      <c r="AU79" s="45"/>
      <c r="AV79" s="16"/>
      <c r="AW79" s="17"/>
      <c r="AX79" s="17"/>
      <c r="AY79" s="18"/>
      <c r="AZ79" s="48"/>
      <c r="BA79" s="17"/>
      <c r="BB79" s="17"/>
      <c r="BC79" s="45"/>
      <c r="BD79" s="16"/>
      <c r="BE79" s="17"/>
      <c r="BF79" s="17"/>
      <c r="BG79" s="17"/>
      <c r="BH79" s="18"/>
      <c r="BI79" s="48"/>
      <c r="BJ79" s="17"/>
      <c r="BK79" s="17"/>
      <c r="BL79" s="45"/>
      <c r="BM79" s="16"/>
      <c r="BN79" s="17"/>
      <c r="BO79" s="17"/>
      <c r="BP79" s="18"/>
    </row>
  </sheetData>
  <mergeCells count="16">
    <mergeCell ref="Q2:AL2"/>
    <mergeCell ref="AM2:BP2"/>
    <mergeCell ref="K4:L4"/>
    <mergeCell ref="M4:N4"/>
    <mergeCell ref="BI3:BL3"/>
    <mergeCell ref="BM3:BP3"/>
    <mergeCell ref="Q3:U3"/>
    <mergeCell ref="V3:Y3"/>
    <mergeCell ref="Z3:AD3"/>
    <mergeCell ref="AE3:AH3"/>
    <mergeCell ref="AI3:AL3"/>
    <mergeCell ref="AM3:AQ3"/>
    <mergeCell ref="AR3:AU3"/>
    <mergeCell ref="BD3:BH3"/>
    <mergeCell ref="AV3:AY3"/>
    <mergeCell ref="AZ3:BC3"/>
  </mergeCells>
  <phoneticPr fontId="1"/>
  <conditionalFormatting sqref="K76:O79 K7:O9 K54:O74 K11:O52">
    <cfRule type="expression" dxfId="37" priority="25">
      <formula>$O7="Completed"</formula>
    </cfRule>
  </conditionalFormatting>
  <conditionalFormatting sqref="Q4:BP5">
    <cfRule type="expression" dxfId="36" priority="24">
      <formula>AND(Q$4&lt;=TODAY(),Q$5&gt;=TODAY())</formula>
    </cfRule>
  </conditionalFormatting>
  <conditionalFormatting sqref="Q6:BP9 Q11:BP52 Q54:BP79">
    <cfRule type="expression" dxfId="35" priority="29" stopIfTrue="1">
      <formula>AND($K6&lt;&gt;"",$K6&lt;=Q$5,$L6&gt;=Q$4,$M6&lt;&gt;"",$M6&lt;=Q$5,$O$2&gt;=Q$5,OR($N6="",$N6&gt;=Q$4))</formula>
    </cfRule>
    <cfRule type="expression" dxfId="34" priority="30" stopIfTrue="1">
      <formula>AND($K6&lt;&gt;"",$K6&lt;=Q$5,$L6&gt;=Q$4)</formula>
    </cfRule>
    <cfRule type="expression" dxfId="33" priority="31" stopIfTrue="1">
      <formula>OR(AND($M6&lt;&gt;"",$M6&gt;=Q$4,$M6&lt;=Q$5),AND($N6&lt;&gt;"",$N6&gt;=Q$4,$N6&lt;=Q$5),AND($M6&lt;&gt;"",$M6&lt;=Q$4,$N6="",$O$2&gt;=Q$5))</formula>
    </cfRule>
  </conditionalFormatting>
  <conditionalFormatting sqref="K75:O75">
    <cfRule type="expression" dxfId="32" priority="9">
      <formula>$O75="Completed"</formula>
    </cfRule>
  </conditionalFormatting>
  <conditionalFormatting sqref="K10:O10">
    <cfRule type="expression" dxfId="31" priority="5">
      <formula>$O10="Completed"</formula>
    </cfRule>
  </conditionalFormatting>
  <conditionalFormatting sqref="Q10:BP10">
    <cfRule type="expression" dxfId="30" priority="6" stopIfTrue="1">
      <formula>AND($K10&lt;&gt;"",$K10&lt;=Q$5,$L10&gt;=Q$4,$M10&lt;&gt;"",$M10&lt;=Q$5,$O$2&gt;=Q$5,OR($N10="",$N10&gt;=Q$4))</formula>
    </cfRule>
    <cfRule type="expression" dxfId="29" priority="7" stopIfTrue="1">
      <formula>AND($K10&lt;&gt;"",$K10&lt;=Q$5,$L10&gt;=Q$4)</formula>
    </cfRule>
    <cfRule type="expression" dxfId="28" priority="8" stopIfTrue="1">
      <formula>OR(AND($M10&lt;&gt;"",$M10&gt;=Q$4,$M10&lt;=Q$5),AND($N10&lt;&gt;"",$N10&gt;=Q$4,$N10&lt;=Q$5),AND($M10&lt;&gt;"",$M10&lt;=Q$4,$N10="",$O$2&gt;=Q$5))</formula>
    </cfRule>
  </conditionalFormatting>
  <conditionalFormatting sqref="K53:O53">
    <cfRule type="expression" dxfId="27" priority="1">
      <formula>$O53="Completed"</formula>
    </cfRule>
  </conditionalFormatting>
  <conditionalFormatting sqref="Q53:BP53">
    <cfRule type="expression" dxfId="26" priority="2" stopIfTrue="1">
      <formula>AND($K53&lt;&gt;"",$K53&lt;=Q$5,$L53&gt;=Q$4,$M53&lt;&gt;"",$M53&lt;=Q$5,$O$2&gt;=Q$5,OR($N53="",$N53&gt;=Q$4))</formula>
    </cfRule>
    <cfRule type="expression" dxfId="25" priority="3" stopIfTrue="1">
      <formula>AND($K53&lt;&gt;"",$K53&lt;=Q$5,$L53&gt;=Q$4)</formula>
    </cfRule>
    <cfRule type="expression" dxfId="24" priority="4" stopIfTrue="1">
      <formula>OR(AND($M53&lt;&gt;"",$M53&gt;=Q$4,$M53&lt;=Q$5),AND($N53&lt;&gt;"",$N53&gt;=Q$4,$N53&lt;=Q$5),AND($M53&lt;&gt;"",$M53&lt;=Q$4,$N53="",$O$2&gt;=Q$5))</formula>
    </cfRule>
  </conditionalFormatting>
  <dataValidations count="1">
    <dataValidation type="list" allowBlank="1" showInputMessage="1" showErrorMessage="1" sqref="O6:O79">
      <formula1>Status</formula1>
    </dataValidation>
  </dataValidations>
  <pageMargins left="0.25" right="0.25" top="0.75" bottom="0.75" header="0.3" footer="0.3"/>
  <pageSetup paperSize="9" scale="6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52"/>
  <sheetViews>
    <sheetView tabSelected="1" zoomScale="85" zoomScaleNormal="85" workbookViewId="0">
      <pane xSplit="5" ySplit="4" topLeftCell="F5" activePane="bottomRight" state="frozen"/>
      <selection pane="topRight" activeCell="F1" sqref="F1"/>
      <selection pane="bottomLeft" activeCell="A5" sqref="A5"/>
      <selection pane="bottomRight"/>
    </sheetView>
  </sheetViews>
  <sheetFormatPr defaultRowHeight="12"/>
  <cols>
    <col min="1" max="1" width="1.86328125" style="1" customWidth="1"/>
    <col min="2" max="2" width="3.06640625" style="1" bestFit="1" customWidth="1"/>
    <col min="3" max="3" width="6.73046875" style="1" bestFit="1" customWidth="1"/>
    <col min="4" max="4" width="10.59765625" style="1" bestFit="1" customWidth="1"/>
    <col min="5" max="5" width="23" style="1" bestFit="1" customWidth="1"/>
    <col min="6" max="6" width="29.3984375" style="1" customWidth="1"/>
    <col min="7" max="7" width="44.3984375" style="1" customWidth="1"/>
    <col min="8" max="8" width="10.3984375" style="1" bestFit="1" customWidth="1"/>
    <col min="9" max="9" width="8.19921875" style="1" bestFit="1" customWidth="1"/>
    <col min="10" max="10" width="10.1328125" style="1" bestFit="1" customWidth="1"/>
    <col min="11" max="11" width="26.6640625" style="78" customWidth="1"/>
    <col min="12" max="12" width="10.1328125" style="1" bestFit="1" customWidth="1"/>
    <col min="13" max="16384" width="9.06640625" style="1"/>
  </cols>
  <sheetData>
    <row r="1" spans="1:12">
      <c r="A1" s="1" t="s">
        <v>0</v>
      </c>
      <c r="J1" s="76" t="s">
        <v>137</v>
      </c>
    </row>
    <row r="2" spans="1:12">
      <c r="A2" s="1" t="s">
        <v>8</v>
      </c>
      <c r="J2" s="76" t="s">
        <v>139</v>
      </c>
    </row>
    <row r="3" spans="1:12">
      <c r="J3" s="76" t="s">
        <v>193</v>
      </c>
    </row>
    <row r="4" spans="1:12">
      <c r="B4" s="41" t="s">
        <v>2</v>
      </c>
      <c r="C4" s="41" t="s">
        <v>3</v>
      </c>
      <c r="D4" s="41" t="s">
        <v>4</v>
      </c>
      <c r="E4" s="41" t="s">
        <v>130</v>
      </c>
      <c r="F4" s="41" t="s">
        <v>5</v>
      </c>
      <c r="G4" s="41" t="s">
        <v>207</v>
      </c>
      <c r="H4" s="41" t="s">
        <v>133</v>
      </c>
      <c r="I4" s="41" t="s">
        <v>184</v>
      </c>
      <c r="J4" s="41" t="s">
        <v>7</v>
      </c>
      <c r="K4" s="79" t="s">
        <v>292</v>
      </c>
      <c r="L4" s="51"/>
    </row>
    <row r="5" spans="1:12" ht="13.05" customHeight="1">
      <c r="B5" s="63">
        <v>1</v>
      </c>
      <c r="C5" s="62">
        <v>1</v>
      </c>
      <c r="D5" s="62" t="s">
        <v>11</v>
      </c>
      <c r="E5" s="62" t="s">
        <v>131</v>
      </c>
      <c r="F5" s="62" t="s">
        <v>132</v>
      </c>
      <c r="G5" s="62" t="s">
        <v>218</v>
      </c>
      <c r="H5" s="37" t="s">
        <v>209</v>
      </c>
      <c r="I5" s="42">
        <v>42622</v>
      </c>
      <c r="J5" s="37" t="s">
        <v>193</v>
      </c>
      <c r="K5" s="64" t="s">
        <v>219</v>
      </c>
    </row>
    <row r="6" spans="1:12" ht="36">
      <c r="B6" s="63">
        <f>B5+1</f>
        <v>2</v>
      </c>
      <c r="C6" s="62">
        <v>3.1</v>
      </c>
      <c r="D6" s="62" t="s">
        <v>215</v>
      </c>
      <c r="E6" s="62" t="s">
        <v>216</v>
      </c>
      <c r="F6" s="62" t="s">
        <v>217</v>
      </c>
      <c r="G6" s="62"/>
      <c r="H6" s="61" t="s">
        <v>209</v>
      </c>
      <c r="I6" s="42">
        <v>42704</v>
      </c>
      <c r="J6" s="61" t="s">
        <v>139</v>
      </c>
      <c r="K6" s="64"/>
    </row>
    <row r="7" spans="1:12" ht="13.05" customHeight="1">
      <c r="B7" s="63">
        <f t="shared" ref="B7:B52" si="0">B6+1</f>
        <v>3</v>
      </c>
      <c r="C7" s="62" t="s">
        <v>140</v>
      </c>
      <c r="D7" s="62" t="s">
        <v>158</v>
      </c>
      <c r="E7" s="62" t="s">
        <v>135</v>
      </c>
      <c r="F7" s="62" t="s">
        <v>136</v>
      </c>
      <c r="G7" s="62" t="s">
        <v>265</v>
      </c>
      <c r="H7" s="37" t="s">
        <v>134</v>
      </c>
      <c r="I7" s="42">
        <v>42622</v>
      </c>
      <c r="J7" s="37" t="s">
        <v>200</v>
      </c>
      <c r="K7" s="64" t="s">
        <v>290</v>
      </c>
    </row>
    <row r="8" spans="1:12" ht="13.05" customHeight="1">
      <c r="B8" s="63">
        <f t="shared" si="0"/>
        <v>4</v>
      </c>
      <c r="C8" s="62" t="s">
        <v>141</v>
      </c>
      <c r="D8" s="62" t="s">
        <v>142</v>
      </c>
      <c r="E8" s="62" t="s">
        <v>143</v>
      </c>
      <c r="F8" s="62"/>
      <c r="G8" s="62"/>
      <c r="H8" s="37" t="s">
        <v>144</v>
      </c>
      <c r="I8" s="42">
        <v>42622</v>
      </c>
      <c r="J8" s="37" t="s">
        <v>200</v>
      </c>
      <c r="K8" s="64" t="s">
        <v>290</v>
      </c>
    </row>
    <row r="9" spans="1:12">
      <c r="B9" s="63">
        <f t="shared" si="0"/>
        <v>5</v>
      </c>
      <c r="C9" s="62" t="s">
        <v>141</v>
      </c>
      <c r="D9" s="62" t="s">
        <v>279</v>
      </c>
      <c r="E9" s="62" t="s">
        <v>280</v>
      </c>
      <c r="F9" s="62"/>
      <c r="G9" s="62"/>
      <c r="H9" s="74"/>
      <c r="I9" s="42">
        <v>42704</v>
      </c>
      <c r="J9" s="74"/>
      <c r="K9" s="64"/>
    </row>
    <row r="10" spans="1:12">
      <c r="B10" s="63">
        <f t="shared" si="0"/>
        <v>6</v>
      </c>
      <c r="C10" s="62">
        <v>4.3</v>
      </c>
      <c r="D10" s="62" t="s">
        <v>159</v>
      </c>
      <c r="E10" s="62" t="s">
        <v>314</v>
      </c>
      <c r="F10" s="62" t="s">
        <v>148</v>
      </c>
      <c r="G10" s="62" t="s">
        <v>276</v>
      </c>
      <c r="H10" s="37" t="s">
        <v>145</v>
      </c>
      <c r="I10" s="42">
        <v>42704</v>
      </c>
      <c r="J10" s="37" t="s">
        <v>186</v>
      </c>
      <c r="K10" s="64"/>
    </row>
    <row r="11" spans="1:12" ht="13.05" customHeight="1">
      <c r="B11" s="63">
        <f t="shared" si="0"/>
        <v>7</v>
      </c>
      <c r="C11" s="62">
        <v>4.3</v>
      </c>
      <c r="D11" s="62" t="s">
        <v>160</v>
      </c>
      <c r="E11" s="62" t="s">
        <v>146</v>
      </c>
      <c r="F11" s="62" t="s">
        <v>149</v>
      </c>
      <c r="G11" s="62" t="s">
        <v>293</v>
      </c>
      <c r="H11" s="37" t="s">
        <v>147</v>
      </c>
      <c r="I11" s="42">
        <v>42629</v>
      </c>
      <c r="J11" s="37" t="s">
        <v>200</v>
      </c>
      <c r="K11" s="64" t="s">
        <v>290</v>
      </c>
    </row>
    <row r="12" spans="1:12" ht="13.05" customHeight="1">
      <c r="B12" s="63">
        <f t="shared" si="0"/>
        <v>8</v>
      </c>
      <c r="C12" s="62" t="s">
        <v>150</v>
      </c>
      <c r="D12" s="62" t="s">
        <v>151</v>
      </c>
      <c r="E12" s="62" t="s">
        <v>152</v>
      </c>
      <c r="F12" s="62" t="s">
        <v>153</v>
      </c>
      <c r="G12" s="62" t="s">
        <v>277</v>
      </c>
      <c r="H12" s="37" t="s">
        <v>154</v>
      </c>
      <c r="I12" s="42">
        <v>42629</v>
      </c>
      <c r="J12" s="37" t="s">
        <v>200</v>
      </c>
      <c r="K12" s="64" t="s">
        <v>290</v>
      </c>
    </row>
    <row r="13" spans="1:12" ht="13.05" customHeight="1">
      <c r="B13" s="63">
        <f t="shared" si="0"/>
        <v>9</v>
      </c>
      <c r="C13" s="62" t="s">
        <v>156</v>
      </c>
      <c r="D13" s="62" t="s">
        <v>151</v>
      </c>
      <c r="E13" s="62" t="s">
        <v>155</v>
      </c>
      <c r="F13" s="62" t="s">
        <v>266</v>
      </c>
      <c r="G13" s="62" t="s">
        <v>274</v>
      </c>
      <c r="H13" s="37" t="s">
        <v>267</v>
      </c>
      <c r="I13" s="42">
        <v>42629</v>
      </c>
      <c r="J13" s="37" t="s">
        <v>200</v>
      </c>
      <c r="K13" s="64" t="s">
        <v>290</v>
      </c>
    </row>
    <row r="14" spans="1:12" ht="13.05" customHeight="1">
      <c r="B14" s="63">
        <f t="shared" si="0"/>
        <v>10</v>
      </c>
      <c r="C14" s="62" t="s">
        <v>156</v>
      </c>
      <c r="D14" s="62" t="s">
        <v>157</v>
      </c>
      <c r="E14" s="62" t="s">
        <v>161</v>
      </c>
      <c r="F14" s="62" t="s">
        <v>268</v>
      </c>
      <c r="G14" s="62" t="s">
        <v>295</v>
      </c>
      <c r="H14" s="37" t="s">
        <v>165</v>
      </c>
      <c r="I14" s="42">
        <v>42629</v>
      </c>
      <c r="J14" s="37" t="s">
        <v>200</v>
      </c>
      <c r="K14" s="80" t="s">
        <v>281</v>
      </c>
    </row>
    <row r="15" spans="1:12" ht="13.05" customHeight="1">
      <c r="B15" s="63">
        <f t="shared" si="0"/>
        <v>11</v>
      </c>
      <c r="C15" s="62" t="s">
        <v>150</v>
      </c>
      <c r="D15" s="62" t="s">
        <v>151</v>
      </c>
      <c r="E15" s="62" t="s">
        <v>275</v>
      </c>
      <c r="F15" s="62" t="s">
        <v>273</v>
      </c>
      <c r="G15" s="62" t="s">
        <v>294</v>
      </c>
      <c r="H15" s="66" t="s">
        <v>267</v>
      </c>
      <c r="I15" s="42">
        <v>42629</v>
      </c>
      <c r="J15" s="66" t="s">
        <v>200</v>
      </c>
      <c r="K15" s="80" t="s">
        <v>290</v>
      </c>
    </row>
    <row r="16" spans="1:12" ht="13.05" customHeight="1">
      <c r="B16" s="63">
        <f t="shared" si="0"/>
        <v>12</v>
      </c>
      <c r="C16" s="62" t="s">
        <v>162</v>
      </c>
      <c r="D16" s="62" t="s">
        <v>151</v>
      </c>
      <c r="E16" s="62" t="s">
        <v>167</v>
      </c>
      <c r="F16" s="62" t="s">
        <v>272</v>
      </c>
      <c r="G16" s="62" t="s">
        <v>288</v>
      </c>
      <c r="H16" s="37" t="s">
        <v>168</v>
      </c>
      <c r="I16" s="42">
        <v>42629</v>
      </c>
      <c r="J16" s="37" t="s">
        <v>200</v>
      </c>
      <c r="K16" s="80" t="s">
        <v>289</v>
      </c>
    </row>
    <row r="17" spans="2:11" ht="13.05" customHeight="1">
      <c r="B17" s="63">
        <f t="shared" si="0"/>
        <v>13</v>
      </c>
      <c r="C17" s="62" t="s">
        <v>162</v>
      </c>
      <c r="D17" s="62" t="s">
        <v>163</v>
      </c>
      <c r="E17" s="62" t="s">
        <v>164</v>
      </c>
      <c r="F17" s="62" t="s">
        <v>269</v>
      </c>
      <c r="G17" s="62" t="s">
        <v>285</v>
      </c>
      <c r="H17" s="37" t="s">
        <v>270</v>
      </c>
      <c r="I17" s="42">
        <v>42629</v>
      </c>
      <c r="J17" s="37" t="s">
        <v>200</v>
      </c>
      <c r="K17" s="80" t="s">
        <v>281</v>
      </c>
    </row>
    <row r="18" spans="2:11" ht="13.05" customHeight="1">
      <c r="B18" s="63">
        <f t="shared" si="0"/>
        <v>14</v>
      </c>
      <c r="C18" s="62" t="s">
        <v>150</v>
      </c>
      <c r="D18" s="62" t="s">
        <v>151</v>
      </c>
      <c r="E18" s="62" t="s">
        <v>282</v>
      </c>
      <c r="F18" s="62" t="s">
        <v>283</v>
      </c>
      <c r="G18" s="62" t="s">
        <v>298</v>
      </c>
      <c r="H18" s="75" t="s">
        <v>267</v>
      </c>
      <c r="I18" s="42">
        <v>42629</v>
      </c>
      <c r="J18" s="75" t="s">
        <v>200</v>
      </c>
      <c r="K18" s="80" t="s">
        <v>300</v>
      </c>
    </row>
    <row r="19" spans="2:11" ht="13.05" customHeight="1">
      <c r="B19" s="63">
        <f t="shared" si="0"/>
        <v>15</v>
      </c>
      <c r="C19" s="62" t="s">
        <v>150</v>
      </c>
      <c r="D19" s="62" t="s">
        <v>151</v>
      </c>
      <c r="E19" s="62" t="s">
        <v>286</v>
      </c>
      <c r="F19" s="62" t="s">
        <v>287</v>
      </c>
      <c r="G19" s="62" t="s">
        <v>284</v>
      </c>
      <c r="H19" s="75" t="s">
        <v>270</v>
      </c>
      <c r="I19" s="42">
        <v>42629</v>
      </c>
      <c r="J19" s="75" t="s">
        <v>200</v>
      </c>
      <c r="K19" s="80" t="s">
        <v>281</v>
      </c>
    </row>
    <row r="20" spans="2:11" ht="13.05" customHeight="1">
      <c r="B20" s="63">
        <f t="shared" si="0"/>
        <v>16</v>
      </c>
      <c r="C20" s="62" t="s">
        <v>162</v>
      </c>
      <c r="D20" s="62" t="s">
        <v>151</v>
      </c>
      <c r="E20" s="62" t="s">
        <v>166</v>
      </c>
      <c r="F20" s="62" t="s">
        <v>271</v>
      </c>
      <c r="G20" s="62" t="s">
        <v>291</v>
      </c>
      <c r="H20" s="37" t="s">
        <v>165</v>
      </c>
      <c r="I20" s="42">
        <v>42629</v>
      </c>
      <c r="J20" s="37" t="s">
        <v>200</v>
      </c>
      <c r="K20" s="80" t="s">
        <v>290</v>
      </c>
    </row>
    <row r="21" spans="2:11">
      <c r="B21" s="63">
        <f>B22+1</f>
        <v>18</v>
      </c>
      <c r="C21" s="62" t="s">
        <v>162</v>
      </c>
      <c r="D21" s="62" t="s">
        <v>316</v>
      </c>
      <c r="E21" s="62" t="s">
        <v>315</v>
      </c>
      <c r="F21" s="62"/>
      <c r="G21" s="62"/>
      <c r="H21" s="84" t="s">
        <v>147</v>
      </c>
      <c r="I21" s="42">
        <v>42704</v>
      </c>
      <c r="J21" s="84" t="s">
        <v>138</v>
      </c>
      <c r="K21" s="80"/>
    </row>
    <row r="22" spans="2:11" ht="13.05" customHeight="1">
      <c r="B22" s="63">
        <f>B20+1</f>
        <v>17</v>
      </c>
      <c r="C22" s="62" t="s">
        <v>169</v>
      </c>
      <c r="D22" s="62" t="s">
        <v>170</v>
      </c>
      <c r="E22" s="62" t="s">
        <v>171</v>
      </c>
      <c r="F22" s="62" t="s">
        <v>278</v>
      </c>
      <c r="G22" s="62" t="s">
        <v>299</v>
      </c>
      <c r="H22" s="37" t="s">
        <v>165</v>
      </c>
      <c r="I22" s="42">
        <v>42629</v>
      </c>
      <c r="J22" s="37" t="s">
        <v>200</v>
      </c>
      <c r="K22" s="80"/>
    </row>
    <row r="23" spans="2:11">
      <c r="B23" s="63">
        <f t="shared" ref="B23:B52" si="1">B21+1</f>
        <v>19</v>
      </c>
      <c r="C23" s="62" t="s">
        <v>169</v>
      </c>
      <c r="D23" s="62" t="s">
        <v>170</v>
      </c>
      <c r="E23" s="62" t="s">
        <v>317</v>
      </c>
      <c r="F23" s="62"/>
      <c r="G23" s="62"/>
      <c r="H23" s="85" t="s">
        <v>147</v>
      </c>
      <c r="I23" s="42">
        <v>42704</v>
      </c>
      <c r="J23" s="85" t="s">
        <v>138</v>
      </c>
      <c r="K23" s="80"/>
    </row>
    <row r="24" spans="2:11">
      <c r="B24" s="63">
        <f t="shared" si="1"/>
        <v>18</v>
      </c>
      <c r="C24" s="62" t="s">
        <v>169</v>
      </c>
      <c r="D24" s="62" t="s">
        <v>170</v>
      </c>
      <c r="E24" s="62" t="s">
        <v>315</v>
      </c>
      <c r="F24" s="62"/>
      <c r="G24" s="62"/>
      <c r="H24" s="84" t="s">
        <v>147</v>
      </c>
      <c r="I24" s="42">
        <v>42704</v>
      </c>
      <c r="J24" s="84" t="s">
        <v>138</v>
      </c>
      <c r="K24" s="80"/>
    </row>
    <row r="25" spans="2:11">
      <c r="B25" s="63">
        <f t="shared" si="1"/>
        <v>20</v>
      </c>
      <c r="C25" s="62" t="s">
        <v>169</v>
      </c>
      <c r="D25" s="62" t="s">
        <v>170</v>
      </c>
      <c r="E25" s="62" t="s">
        <v>297</v>
      </c>
      <c r="F25" s="62"/>
      <c r="G25" s="62"/>
      <c r="H25" s="81" t="s">
        <v>147</v>
      </c>
      <c r="I25" s="42">
        <v>42704</v>
      </c>
      <c r="J25" s="81" t="s">
        <v>138</v>
      </c>
      <c r="K25" s="80"/>
    </row>
    <row r="26" spans="2:11" ht="13.05" customHeight="1">
      <c r="B26" s="63">
        <f t="shared" si="1"/>
        <v>19</v>
      </c>
      <c r="C26" s="62" t="s">
        <v>172</v>
      </c>
      <c r="D26" s="62" t="s">
        <v>181</v>
      </c>
      <c r="E26" s="62" t="s">
        <v>173</v>
      </c>
      <c r="F26" s="62" t="s">
        <v>174</v>
      </c>
      <c r="G26" s="62" t="s">
        <v>308</v>
      </c>
      <c r="H26" s="37" t="s">
        <v>154</v>
      </c>
      <c r="I26" s="42">
        <v>42643</v>
      </c>
      <c r="J26" s="37" t="s">
        <v>200</v>
      </c>
      <c r="K26" s="80"/>
    </row>
    <row r="27" spans="2:11">
      <c r="B27" s="63">
        <f t="shared" si="1"/>
        <v>21</v>
      </c>
      <c r="C27" s="62" t="s">
        <v>172</v>
      </c>
      <c r="D27" s="62" t="s">
        <v>181</v>
      </c>
      <c r="E27" s="62" t="s">
        <v>175</v>
      </c>
      <c r="F27" s="62" t="s">
        <v>176</v>
      </c>
      <c r="G27" s="62"/>
      <c r="H27" s="37" t="s">
        <v>144</v>
      </c>
      <c r="I27" s="42">
        <v>42704</v>
      </c>
      <c r="J27" s="37" t="s">
        <v>185</v>
      </c>
      <c r="K27" s="80"/>
    </row>
    <row r="28" spans="2:11" ht="24">
      <c r="B28" s="63">
        <f t="shared" si="1"/>
        <v>20</v>
      </c>
      <c r="C28" s="62" t="s">
        <v>172</v>
      </c>
      <c r="D28" s="62" t="s">
        <v>181</v>
      </c>
      <c r="E28" s="62" t="s">
        <v>296</v>
      </c>
      <c r="F28" s="62"/>
      <c r="G28" s="62" t="s">
        <v>313</v>
      </c>
      <c r="H28" s="77"/>
      <c r="I28" s="42">
        <v>42704</v>
      </c>
      <c r="J28" s="77"/>
      <c r="K28" s="80"/>
    </row>
    <row r="29" spans="2:11">
      <c r="B29" s="63">
        <f t="shared" si="1"/>
        <v>22</v>
      </c>
      <c r="C29" s="62" t="s">
        <v>172</v>
      </c>
      <c r="D29" s="62" t="s">
        <v>181</v>
      </c>
      <c r="E29" s="62" t="s">
        <v>177</v>
      </c>
      <c r="F29" s="62" t="s">
        <v>178</v>
      </c>
      <c r="G29" s="62"/>
      <c r="H29" s="37" t="s">
        <v>144</v>
      </c>
      <c r="I29" s="42">
        <v>42704</v>
      </c>
      <c r="J29" s="37" t="s">
        <v>137</v>
      </c>
      <c r="K29" s="80"/>
    </row>
    <row r="30" spans="2:11">
      <c r="B30" s="63">
        <f t="shared" si="1"/>
        <v>21</v>
      </c>
      <c r="C30" s="62" t="s">
        <v>172</v>
      </c>
      <c r="D30" s="62" t="s">
        <v>182</v>
      </c>
      <c r="E30" s="62" t="s">
        <v>179</v>
      </c>
      <c r="F30" s="62" t="s">
        <v>180</v>
      </c>
      <c r="G30" s="62"/>
      <c r="H30" s="37" t="s">
        <v>144</v>
      </c>
      <c r="I30" s="42">
        <v>42704</v>
      </c>
      <c r="J30" s="37" t="s">
        <v>137</v>
      </c>
      <c r="K30" s="80"/>
    </row>
    <row r="31" spans="2:11" ht="13.05" customHeight="1">
      <c r="B31" s="63">
        <f t="shared" si="1"/>
        <v>23</v>
      </c>
      <c r="C31" s="62" t="s">
        <v>172</v>
      </c>
      <c r="D31" s="62" t="s">
        <v>181</v>
      </c>
      <c r="E31" s="62" t="s">
        <v>306</v>
      </c>
      <c r="F31" s="62" t="s">
        <v>223</v>
      </c>
      <c r="G31" s="62" t="s">
        <v>307</v>
      </c>
      <c r="H31" s="37" t="s">
        <v>224</v>
      </c>
      <c r="I31" s="42">
        <v>42643</v>
      </c>
      <c r="J31" s="37" t="s">
        <v>200</v>
      </c>
      <c r="K31" s="80"/>
    </row>
    <row r="32" spans="2:11" ht="13.05" customHeight="1">
      <c r="B32" s="63">
        <f t="shared" si="1"/>
        <v>22</v>
      </c>
      <c r="C32" s="62" t="s">
        <v>172</v>
      </c>
      <c r="D32" s="62" t="s">
        <v>181</v>
      </c>
      <c r="E32" s="62" t="s">
        <v>309</v>
      </c>
      <c r="F32" s="62" t="s">
        <v>310</v>
      </c>
      <c r="G32" s="62" t="s">
        <v>311</v>
      </c>
      <c r="H32" s="83" t="s">
        <v>312</v>
      </c>
      <c r="I32" s="42">
        <v>42643</v>
      </c>
      <c r="J32" s="83" t="s">
        <v>200</v>
      </c>
      <c r="K32" s="80"/>
    </row>
    <row r="33" spans="2:11" ht="13.05" customHeight="1">
      <c r="B33" s="63">
        <f t="shared" si="1"/>
        <v>24</v>
      </c>
      <c r="C33" s="62" t="s">
        <v>172</v>
      </c>
      <c r="D33" s="62" t="s">
        <v>181</v>
      </c>
      <c r="E33" s="62" t="s">
        <v>183</v>
      </c>
      <c r="F33" s="62" t="s">
        <v>222</v>
      </c>
      <c r="G33" s="62" t="s">
        <v>307</v>
      </c>
      <c r="H33" s="37" t="s">
        <v>154</v>
      </c>
      <c r="I33" s="42">
        <v>42629</v>
      </c>
      <c r="J33" s="37" t="s">
        <v>200</v>
      </c>
      <c r="K33" s="80"/>
    </row>
    <row r="34" spans="2:11" ht="24">
      <c r="B34" s="63">
        <f t="shared" si="1"/>
        <v>23</v>
      </c>
      <c r="C34" s="62">
        <v>4.5</v>
      </c>
      <c r="D34" s="62" t="s">
        <v>78</v>
      </c>
      <c r="E34" s="62" t="s">
        <v>232</v>
      </c>
      <c r="F34" s="62" t="s">
        <v>233</v>
      </c>
      <c r="G34" s="62"/>
      <c r="H34" s="37" t="s">
        <v>240</v>
      </c>
      <c r="I34" s="42">
        <v>42704</v>
      </c>
      <c r="J34" s="37" t="s">
        <v>137</v>
      </c>
      <c r="K34" s="80"/>
    </row>
    <row r="35" spans="2:11" ht="24">
      <c r="B35" s="63">
        <f t="shared" si="1"/>
        <v>25</v>
      </c>
      <c r="C35" s="62">
        <v>4.5999999999999996</v>
      </c>
      <c r="D35" s="62" t="s">
        <v>234</v>
      </c>
      <c r="E35" s="62" t="s">
        <v>235</v>
      </c>
      <c r="F35" s="62" t="s">
        <v>237</v>
      </c>
      <c r="G35" s="62"/>
      <c r="H35" s="37" t="s">
        <v>236</v>
      </c>
      <c r="I35" s="42">
        <v>42704</v>
      </c>
      <c r="J35" s="61" t="s">
        <v>137</v>
      </c>
      <c r="K35" s="80"/>
    </row>
    <row r="36" spans="2:11" ht="24">
      <c r="B36" s="63">
        <f t="shared" si="1"/>
        <v>24</v>
      </c>
      <c r="C36" s="62">
        <v>4.7</v>
      </c>
      <c r="D36" s="62" t="s">
        <v>238</v>
      </c>
      <c r="E36" s="62" t="s">
        <v>239</v>
      </c>
      <c r="F36" s="62" t="s">
        <v>233</v>
      </c>
      <c r="G36" s="62"/>
      <c r="H36" s="61" t="s">
        <v>144</v>
      </c>
      <c r="I36" s="42">
        <v>42704</v>
      </c>
      <c r="J36" s="61" t="s">
        <v>137</v>
      </c>
      <c r="K36" s="64"/>
    </row>
    <row r="37" spans="2:11" ht="24">
      <c r="B37" s="63">
        <f t="shared" si="1"/>
        <v>26</v>
      </c>
      <c r="C37" s="62">
        <v>4.8</v>
      </c>
      <c r="D37" s="62" t="s">
        <v>241</v>
      </c>
      <c r="E37" s="62" t="s">
        <v>242</v>
      </c>
      <c r="F37" s="62" t="s">
        <v>243</v>
      </c>
      <c r="G37" s="62"/>
      <c r="H37" s="61" t="s">
        <v>224</v>
      </c>
      <c r="I37" s="42">
        <v>42704</v>
      </c>
      <c r="J37" s="61" t="s">
        <v>137</v>
      </c>
      <c r="K37" s="64"/>
    </row>
    <row r="38" spans="2:11">
      <c r="B38" s="63">
        <f t="shared" si="1"/>
        <v>25</v>
      </c>
      <c r="C38" s="62">
        <v>4.8</v>
      </c>
      <c r="D38" s="62" t="s">
        <v>241</v>
      </c>
      <c r="E38" s="62" t="s">
        <v>244</v>
      </c>
      <c r="F38" s="62" t="s">
        <v>222</v>
      </c>
      <c r="G38" s="62"/>
      <c r="H38" s="61" t="s">
        <v>224</v>
      </c>
      <c r="I38" s="42">
        <v>42704</v>
      </c>
      <c r="J38" s="61" t="s">
        <v>137</v>
      </c>
      <c r="K38" s="64"/>
    </row>
    <row r="39" spans="2:11">
      <c r="B39" s="63">
        <f t="shared" si="1"/>
        <v>27</v>
      </c>
      <c r="C39" s="62">
        <v>4.8</v>
      </c>
      <c r="D39" s="62" t="s">
        <v>247</v>
      </c>
      <c r="E39" s="62" t="s">
        <v>245</v>
      </c>
      <c r="F39" s="62" t="s">
        <v>246</v>
      </c>
      <c r="G39" s="62"/>
      <c r="H39" s="61" t="s">
        <v>240</v>
      </c>
      <c r="I39" s="42">
        <v>42704</v>
      </c>
      <c r="J39" s="61" t="s">
        <v>137</v>
      </c>
      <c r="K39" s="64"/>
    </row>
    <row r="40" spans="2:11" ht="24">
      <c r="B40" s="63">
        <f t="shared" si="1"/>
        <v>26</v>
      </c>
      <c r="C40" s="62">
        <v>4.9000000000000004</v>
      </c>
      <c r="D40" s="62" t="s">
        <v>248</v>
      </c>
      <c r="E40" s="62" t="s">
        <v>249</v>
      </c>
      <c r="F40" s="62" t="s">
        <v>250</v>
      </c>
      <c r="G40" s="62"/>
      <c r="H40" s="61" t="s">
        <v>147</v>
      </c>
      <c r="I40" s="42">
        <v>42704</v>
      </c>
      <c r="J40" s="61" t="s">
        <v>137</v>
      </c>
      <c r="K40" s="64"/>
    </row>
    <row r="41" spans="2:11">
      <c r="B41" s="63">
        <f t="shared" si="1"/>
        <v>28</v>
      </c>
      <c r="C41" s="62">
        <v>5</v>
      </c>
      <c r="D41" s="62" t="s">
        <v>251</v>
      </c>
      <c r="E41" s="62" t="s">
        <v>252</v>
      </c>
      <c r="F41" s="62"/>
      <c r="G41" s="62"/>
      <c r="H41" s="61" t="s">
        <v>209</v>
      </c>
      <c r="I41" s="42">
        <v>42794</v>
      </c>
      <c r="J41" s="61" t="s">
        <v>137</v>
      </c>
      <c r="K41" s="64"/>
    </row>
    <row r="42" spans="2:11">
      <c r="B42" s="63">
        <f t="shared" si="1"/>
        <v>27</v>
      </c>
      <c r="C42" s="62">
        <v>5</v>
      </c>
      <c r="D42" s="62" t="s">
        <v>251</v>
      </c>
      <c r="E42" s="62" t="s">
        <v>253</v>
      </c>
      <c r="F42" s="62"/>
      <c r="G42" s="62"/>
      <c r="H42" s="61" t="s">
        <v>209</v>
      </c>
      <c r="I42" s="42">
        <v>42794</v>
      </c>
      <c r="J42" s="61" t="s">
        <v>137</v>
      </c>
      <c r="K42" s="64"/>
    </row>
    <row r="43" spans="2:11">
      <c r="B43" s="63">
        <f t="shared" si="1"/>
        <v>29</v>
      </c>
      <c r="C43" s="62">
        <v>5</v>
      </c>
      <c r="D43" s="62" t="s">
        <v>251</v>
      </c>
      <c r="E43" s="62" t="s">
        <v>254</v>
      </c>
      <c r="F43" s="62"/>
      <c r="G43" s="62"/>
      <c r="H43" s="61" t="s">
        <v>209</v>
      </c>
      <c r="I43" s="42">
        <v>42794</v>
      </c>
      <c r="J43" s="61" t="s">
        <v>137</v>
      </c>
      <c r="K43" s="64"/>
    </row>
    <row r="44" spans="2:11">
      <c r="B44" s="63">
        <f t="shared" si="1"/>
        <v>28</v>
      </c>
      <c r="C44" s="62">
        <v>5</v>
      </c>
      <c r="D44" s="62" t="s">
        <v>251</v>
      </c>
      <c r="E44" s="62" t="s">
        <v>255</v>
      </c>
      <c r="F44" s="62"/>
      <c r="G44" s="62"/>
      <c r="H44" s="61" t="s">
        <v>209</v>
      </c>
      <c r="I44" s="42">
        <v>42794</v>
      </c>
      <c r="J44" s="61" t="s">
        <v>137</v>
      </c>
      <c r="K44" s="64"/>
    </row>
    <row r="45" spans="2:11">
      <c r="B45" s="63">
        <f t="shared" si="1"/>
        <v>30</v>
      </c>
      <c r="C45" s="62"/>
      <c r="D45" s="62"/>
      <c r="E45" s="62"/>
      <c r="F45" s="62"/>
      <c r="G45" s="62"/>
      <c r="H45" s="61"/>
      <c r="I45" s="42"/>
      <c r="J45" s="61" t="s">
        <v>137</v>
      </c>
      <c r="K45" s="64"/>
    </row>
    <row r="46" spans="2:11">
      <c r="B46" s="63">
        <f t="shared" si="1"/>
        <v>29</v>
      </c>
      <c r="C46" s="62" t="s">
        <v>256</v>
      </c>
      <c r="D46" s="62" t="s">
        <v>226</v>
      </c>
      <c r="E46" s="62" t="s">
        <v>227</v>
      </c>
      <c r="F46" s="62"/>
      <c r="G46" s="62"/>
      <c r="H46" s="37" t="s">
        <v>258</v>
      </c>
      <c r="I46" s="42">
        <v>42916</v>
      </c>
      <c r="J46" s="61" t="s">
        <v>137</v>
      </c>
      <c r="K46" s="64"/>
    </row>
    <row r="47" spans="2:11">
      <c r="B47" s="63">
        <f t="shared" si="1"/>
        <v>31</v>
      </c>
      <c r="C47" s="62" t="s">
        <v>225</v>
      </c>
      <c r="D47" s="62" t="s">
        <v>13</v>
      </c>
      <c r="E47" s="62" t="s">
        <v>228</v>
      </c>
      <c r="F47" s="62"/>
      <c r="G47" s="62"/>
      <c r="H47" s="37" t="s">
        <v>259</v>
      </c>
      <c r="I47" s="42">
        <v>42916</v>
      </c>
      <c r="J47" s="61" t="s">
        <v>137</v>
      </c>
      <c r="K47" s="64"/>
    </row>
    <row r="48" spans="2:11">
      <c r="B48" s="63">
        <f t="shared" si="1"/>
        <v>30</v>
      </c>
      <c r="C48" s="62" t="s">
        <v>225</v>
      </c>
      <c r="D48" s="62" t="s">
        <v>13</v>
      </c>
      <c r="E48" s="62" t="s">
        <v>229</v>
      </c>
      <c r="F48" s="62"/>
      <c r="G48" s="62"/>
      <c r="H48" s="37" t="s">
        <v>259</v>
      </c>
      <c r="I48" s="42">
        <v>42916</v>
      </c>
      <c r="J48" s="61" t="s">
        <v>137</v>
      </c>
      <c r="K48" s="64"/>
    </row>
    <row r="49" spans="2:11">
      <c r="B49" s="63">
        <f t="shared" si="1"/>
        <v>32</v>
      </c>
      <c r="C49" s="62" t="s">
        <v>225</v>
      </c>
      <c r="D49" s="62" t="s">
        <v>13</v>
      </c>
      <c r="E49" s="62" t="s">
        <v>230</v>
      </c>
      <c r="F49" s="62"/>
      <c r="G49" s="62"/>
      <c r="H49" s="37" t="s">
        <v>259</v>
      </c>
      <c r="I49" s="42">
        <v>42916</v>
      </c>
      <c r="J49" s="61" t="s">
        <v>137</v>
      </c>
      <c r="K49" s="64"/>
    </row>
    <row r="50" spans="2:11">
      <c r="B50" s="63">
        <f t="shared" si="1"/>
        <v>31</v>
      </c>
      <c r="C50" s="62" t="s">
        <v>225</v>
      </c>
      <c r="D50" s="62" t="s">
        <v>13</v>
      </c>
      <c r="E50" s="62" t="s">
        <v>231</v>
      </c>
      <c r="F50" s="62"/>
      <c r="G50" s="62"/>
      <c r="H50" s="37" t="s">
        <v>259</v>
      </c>
      <c r="I50" s="42">
        <v>42916</v>
      </c>
      <c r="J50" s="61" t="s">
        <v>137</v>
      </c>
      <c r="K50" s="64"/>
    </row>
    <row r="51" spans="2:11">
      <c r="B51" s="63">
        <f t="shared" si="1"/>
        <v>33</v>
      </c>
      <c r="C51" s="62" t="s">
        <v>257</v>
      </c>
      <c r="D51" s="62" t="s">
        <v>13</v>
      </c>
      <c r="E51" s="62" t="s">
        <v>210</v>
      </c>
      <c r="F51" s="62"/>
      <c r="G51" s="62"/>
      <c r="H51" s="37" t="s">
        <v>259</v>
      </c>
      <c r="I51" s="42">
        <v>42916</v>
      </c>
      <c r="J51" s="61" t="s">
        <v>137</v>
      </c>
      <c r="K51" s="64"/>
    </row>
    <row r="52" spans="2:11">
      <c r="B52" s="63">
        <f t="shared" si="1"/>
        <v>32</v>
      </c>
      <c r="C52" s="62"/>
      <c r="D52" s="62"/>
      <c r="E52" s="62"/>
      <c r="F52" s="62"/>
      <c r="G52" s="62"/>
      <c r="H52" s="37"/>
      <c r="I52" s="42"/>
      <c r="J52" s="61"/>
      <c r="K52" s="64"/>
    </row>
  </sheetData>
  <phoneticPr fontId="1"/>
  <conditionalFormatting sqref="C20:J20 C33:J33 F32:J32 C26:H30 J26:J30 C31:J31 B18:B20 B21:J22 B5:J17 C41:J52 C34:H40 J34:J40 B23:B52">
    <cfRule type="expression" dxfId="23" priority="30">
      <formula>$J5="Completed"</formula>
    </cfRule>
  </conditionalFormatting>
  <conditionalFormatting sqref="C18:J19">
    <cfRule type="expression" dxfId="22" priority="29">
      <formula>$J18="Completed"</formula>
    </cfRule>
  </conditionalFormatting>
  <conditionalFormatting sqref="K26:K52 K5:K22">
    <cfRule type="expression" dxfId="21" priority="27">
      <formula>$K5="N/A"</formula>
    </cfRule>
    <cfRule type="expression" dxfId="20" priority="28">
      <formula>$K5&lt;&gt;""</formula>
    </cfRule>
  </conditionalFormatting>
  <conditionalFormatting sqref="C25:H25 J25">
    <cfRule type="expression" dxfId="19" priority="26">
      <formula>$J25="Completed"</formula>
    </cfRule>
  </conditionalFormatting>
  <conditionalFormatting sqref="K25">
    <cfRule type="expression" dxfId="18" priority="24">
      <formula>$K25="N/A"</formula>
    </cfRule>
    <cfRule type="expression" dxfId="17" priority="25">
      <formula>$K25&lt;&gt;""</formula>
    </cfRule>
  </conditionalFormatting>
  <conditionalFormatting sqref="C32:E32">
    <cfRule type="expression" dxfId="16" priority="23">
      <formula>$J32="Completed"</formula>
    </cfRule>
  </conditionalFormatting>
  <conditionalFormatting sqref="I26 I29">
    <cfRule type="expression" dxfId="15" priority="22">
      <formula>$J26="Completed"</formula>
    </cfRule>
  </conditionalFormatting>
  <conditionalFormatting sqref="C24:H24 J24">
    <cfRule type="expression" dxfId="13" priority="15">
      <formula>$J24="Completed"</formula>
    </cfRule>
  </conditionalFormatting>
  <conditionalFormatting sqref="K24">
    <cfRule type="expression" dxfId="12" priority="13">
      <formula>$K24="N/A"</formula>
    </cfRule>
    <cfRule type="expression" dxfId="11" priority="14">
      <formula>$K24&lt;&gt;""</formula>
    </cfRule>
  </conditionalFormatting>
  <conditionalFormatting sqref="I24">
    <cfRule type="expression" dxfId="10" priority="11">
      <formula>$J24="Completed"</formula>
    </cfRule>
  </conditionalFormatting>
  <conditionalFormatting sqref="I25">
    <cfRule type="expression" dxfId="9" priority="10">
      <formula>$J25="Completed"</formula>
    </cfRule>
  </conditionalFormatting>
  <conditionalFormatting sqref="I27">
    <cfRule type="expression" dxfId="8" priority="9">
      <formula>$J27="Completed"</formula>
    </cfRule>
  </conditionalFormatting>
  <conditionalFormatting sqref="I28">
    <cfRule type="expression" dxfId="7" priority="8">
      <formula>$J28="Completed"</formula>
    </cfRule>
  </conditionalFormatting>
  <conditionalFormatting sqref="I30">
    <cfRule type="expression" dxfId="6" priority="7">
      <formula>$J30="Completed"</formula>
    </cfRule>
  </conditionalFormatting>
  <conditionalFormatting sqref="I34:I40">
    <cfRule type="expression" dxfId="5" priority="6">
      <formula>$J34="Completed"</formula>
    </cfRule>
  </conditionalFormatting>
  <conditionalFormatting sqref="C23:H23 J23">
    <cfRule type="expression" dxfId="3" priority="4">
      <formula>$J23="Completed"</formula>
    </cfRule>
  </conditionalFormatting>
  <conditionalFormatting sqref="K23">
    <cfRule type="expression" dxfId="2" priority="2">
      <formula>$K23="N/A"</formula>
    </cfRule>
    <cfRule type="expression" dxfId="1" priority="3">
      <formula>$K23&lt;&gt;""</formula>
    </cfRule>
  </conditionalFormatting>
  <conditionalFormatting sqref="I23">
    <cfRule type="expression" dxfId="0" priority="1">
      <formula>$J23="Completed"</formula>
    </cfRule>
  </conditionalFormatting>
  <dataValidations count="1">
    <dataValidation type="list" allowBlank="1" showInputMessage="1" showErrorMessage="1" sqref="J5:J52">
      <formula1>Status</formula1>
    </dataValidation>
  </dataValidations>
  <pageMargins left="0.25" right="0.25" top="0.75" bottom="0.75" header="0.3" footer="0.3"/>
  <pageSetup paperSize="9" scale="94"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E25"/>
  <sheetViews>
    <sheetView zoomScale="85" zoomScaleNormal="85" workbookViewId="0"/>
  </sheetViews>
  <sheetFormatPr defaultRowHeight="12"/>
  <cols>
    <col min="1" max="1" width="2.46484375" style="1" customWidth="1"/>
    <col min="2" max="2" width="11.6640625" style="1" bestFit="1" customWidth="1"/>
    <col min="3" max="3" width="15.46484375" style="1" bestFit="1" customWidth="1"/>
    <col min="4" max="4" width="9.06640625" style="1"/>
    <col min="5" max="27" width="4.59765625" style="1" customWidth="1"/>
    <col min="28" max="28" width="3" style="1" customWidth="1"/>
    <col min="29" max="31" width="4.3984375" style="1" customWidth="1"/>
    <col min="32" max="16384" width="9.06640625" style="1"/>
  </cols>
  <sheetData>
    <row r="1" spans="1:31">
      <c r="A1" s="1" t="s">
        <v>0</v>
      </c>
    </row>
    <row r="2" spans="1:31">
      <c r="A2" s="1" t="s">
        <v>1</v>
      </c>
      <c r="E2" s="92">
        <v>2016</v>
      </c>
      <c r="F2" s="92"/>
      <c r="G2" s="92"/>
      <c r="H2" s="92"/>
      <c r="I2" s="92"/>
      <c r="J2" s="92">
        <v>2017</v>
      </c>
      <c r="K2" s="92"/>
      <c r="L2" s="92"/>
      <c r="M2" s="92"/>
      <c r="N2" s="92"/>
      <c r="O2" s="92"/>
      <c r="P2" s="92"/>
      <c r="Q2" s="92"/>
      <c r="R2" s="92"/>
      <c r="S2" s="92"/>
      <c r="T2" s="92"/>
      <c r="U2" s="92"/>
      <c r="V2" s="92">
        <v>2018</v>
      </c>
      <c r="W2" s="92"/>
      <c r="X2" s="92"/>
      <c r="Y2" s="92"/>
      <c r="Z2" s="92"/>
      <c r="AA2" s="92"/>
    </row>
    <row r="3" spans="1:31">
      <c r="E3" s="2" t="s">
        <v>27</v>
      </c>
      <c r="F3" s="2" t="s">
        <v>29</v>
      </c>
      <c r="G3" s="2" t="s">
        <v>31</v>
      </c>
      <c r="H3" s="2" t="s">
        <v>32</v>
      </c>
      <c r="I3" s="2" t="s">
        <v>33</v>
      </c>
      <c r="J3" s="2" t="s">
        <v>34</v>
      </c>
      <c r="K3" s="2" t="s">
        <v>35</v>
      </c>
      <c r="L3" s="2" t="s">
        <v>36</v>
      </c>
      <c r="M3" s="2" t="s">
        <v>37</v>
      </c>
      <c r="N3" s="2" t="s">
        <v>38</v>
      </c>
      <c r="O3" s="2" t="s">
        <v>39</v>
      </c>
      <c r="P3" s="2" t="s">
        <v>25</v>
      </c>
      <c r="Q3" s="2" t="s">
        <v>26</v>
      </c>
      <c r="R3" s="2" t="s">
        <v>28</v>
      </c>
      <c r="S3" s="2" t="s">
        <v>30</v>
      </c>
      <c r="T3" s="2" t="s">
        <v>32</v>
      </c>
      <c r="U3" s="2" t="s">
        <v>33</v>
      </c>
      <c r="V3" s="2" t="s">
        <v>34</v>
      </c>
      <c r="W3" s="2" t="s">
        <v>35</v>
      </c>
      <c r="X3" s="2" t="s">
        <v>36</v>
      </c>
      <c r="Y3" s="2" t="s">
        <v>37</v>
      </c>
      <c r="Z3" s="2" t="s">
        <v>38</v>
      </c>
      <c r="AA3" s="2" t="s">
        <v>39</v>
      </c>
    </row>
    <row r="4" spans="1:31">
      <c r="D4" s="2" t="s">
        <v>58</v>
      </c>
      <c r="E4" s="3" t="s">
        <v>40</v>
      </c>
      <c r="F4" s="3"/>
      <c r="G4" s="3"/>
      <c r="H4" s="3"/>
      <c r="I4" s="3"/>
      <c r="J4" s="4" t="s">
        <v>41</v>
      </c>
      <c r="K4" s="4"/>
      <c r="L4" s="4"/>
      <c r="M4" s="4"/>
      <c r="N4" s="4"/>
      <c r="O4" s="4"/>
      <c r="P4" s="5" t="s">
        <v>42</v>
      </c>
      <c r="Q4" s="5"/>
      <c r="R4" s="5" t="s">
        <v>43</v>
      </c>
      <c r="S4" s="5"/>
      <c r="T4" s="5"/>
      <c r="U4" s="6" t="s">
        <v>44</v>
      </c>
      <c r="V4" s="6"/>
      <c r="W4" s="6" t="s">
        <v>45</v>
      </c>
      <c r="X4" s="6"/>
      <c r="Y4" s="6" t="s">
        <v>46</v>
      </c>
      <c r="Z4" s="6"/>
      <c r="AA4" s="7" t="s">
        <v>47</v>
      </c>
    </row>
    <row r="5" spans="1:31">
      <c r="D5" s="2" t="s">
        <v>55</v>
      </c>
      <c r="E5" s="3"/>
      <c r="F5" s="3"/>
      <c r="G5" s="3"/>
      <c r="H5" s="4"/>
      <c r="I5" s="4"/>
      <c r="J5" s="4"/>
      <c r="K5" s="4"/>
      <c r="L5" s="10"/>
      <c r="M5" s="10"/>
      <c r="N5" s="10"/>
      <c r="O5" s="10"/>
      <c r="P5" s="5"/>
      <c r="Q5" s="5"/>
      <c r="R5" s="5"/>
      <c r="S5" s="5"/>
      <c r="T5" s="5"/>
      <c r="U5" s="6"/>
      <c r="V5" s="6"/>
      <c r="W5" s="6"/>
      <c r="X5" s="6"/>
      <c r="Y5" s="6"/>
      <c r="Z5" s="6"/>
      <c r="AA5" s="7"/>
    </row>
    <row r="6" spans="1:31">
      <c r="D6" s="2" t="s">
        <v>56</v>
      </c>
      <c r="E6" s="10"/>
      <c r="F6" s="10"/>
      <c r="G6" s="3"/>
      <c r="H6" s="3"/>
      <c r="I6" s="3"/>
      <c r="J6" s="4"/>
      <c r="K6" s="4"/>
      <c r="L6" s="4"/>
      <c r="M6" s="4"/>
      <c r="N6" s="10"/>
      <c r="O6" s="10"/>
      <c r="P6" s="5"/>
      <c r="Q6" s="5"/>
      <c r="R6" s="5"/>
      <c r="S6" s="5"/>
      <c r="T6" s="5"/>
      <c r="U6" s="6"/>
      <c r="V6" s="6"/>
      <c r="W6" s="6"/>
      <c r="X6" s="6"/>
      <c r="Y6" s="6"/>
      <c r="Z6" s="6"/>
      <c r="AA6" s="7"/>
    </row>
    <row r="7" spans="1:31">
      <c r="D7" s="2" t="s">
        <v>57</v>
      </c>
      <c r="E7" s="10"/>
      <c r="F7" s="10"/>
      <c r="G7" s="10"/>
      <c r="H7" s="10"/>
      <c r="I7" s="3"/>
      <c r="J7" s="3"/>
      <c r="K7" s="4"/>
      <c r="L7" s="4"/>
      <c r="M7" s="4"/>
      <c r="N7" s="4"/>
      <c r="O7" s="4"/>
      <c r="P7" s="5"/>
      <c r="Q7" s="5"/>
      <c r="R7" s="5"/>
      <c r="S7" s="5"/>
      <c r="T7" s="5"/>
      <c r="U7" s="6"/>
      <c r="V7" s="6"/>
      <c r="W7" s="6"/>
      <c r="X7" s="6"/>
      <c r="Y7" s="6"/>
      <c r="Z7" s="6"/>
      <c r="AA7" s="7"/>
    </row>
    <row r="8" spans="1:31">
      <c r="B8" s="1" t="s">
        <v>59</v>
      </c>
      <c r="AC8" s="1">
        <v>8</v>
      </c>
      <c r="AE8" s="1">
        <v>20</v>
      </c>
    </row>
    <row r="9" spans="1:31">
      <c r="B9" s="8" t="s">
        <v>54</v>
      </c>
      <c r="C9" s="8" t="s">
        <v>10</v>
      </c>
      <c r="D9" s="8" t="s">
        <v>6</v>
      </c>
      <c r="E9" s="8"/>
      <c r="F9" s="8"/>
      <c r="G9" s="8"/>
      <c r="H9" s="8"/>
      <c r="I9" s="8"/>
      <c r="J9" s="8"/>
      <c r="K9" s="8"/>
      <c r="L9" s="8"/>
      <c r="M9" s="8"/>
      <c r="N9" s="8"/>
      <c r="O9" s="8"/>
      <c r="P9" s="8"/>
      <c r="Q9" s="8"/>
      <c r="R9" s="8"/>
      <c r="S9" s="8"/>
      <c r="T9" s="8"/>
      <c r="U9" s="8"/>
      <c r="V9" s="8"/>
      <c r="W9" s="8"/>
      <c r="X9" s="8"/>
      <c r="Y9" s="8"/>
      <c r="Z9" s="8"/>
      <c r="AA9" s="8"/>
      <c r="AC9" s="60" t="s">
        <v>194</v>
      </c>
      <c r="AD9" s="60" t="s">
        <v>60</v>
      </c>
      <c r="AE9" s="60" t="s">
        <v>61</v>
      </c>
    </row>
    <row r="10" spans="1:31">
      <c r="B10" s="2" t="s">
        <v>9</v>
      </c>
      <c r="C10" s="2" t="s">
        <v>11</v>
      </c>
      <c r="D10" s="2" t="s">
        <v>23</v>
      </c>
      <c r="E10" s="9">
        <v>0.25</v>
      </c>
      <c r="F10" s="9">
        <v>0.25</v>
      </c>
      <c r="G10" s="9">
        <v>0.25</v>
      </c>
      <c r="H10" s="9">
        <v>0.25</v>
      </c>
      <c r="I10" s="9">
        <v>0.25</v>
      </c>
      <c r="J10" s="9"/>
      <c r="K10" s="9"/>
      <c r="L10" s="9"/>
      <c r="M10" s="9"/>
      <c r="N10" s="9"/>
      <c r="O10" s="9"/>
      <c r="P10" s="9"/>
      <c r="Q10" s="9"/>
      <c r="R10" s="9"/>
      <c r="S10" s="9"/>
      <c r="T10" s="9"/>
      <c r="U10" s="9"/>
      <c r="V10" s="9"/>
      <c r="W10" s="9"/>
      <c r="X10" s="9"/>
      <c r="Y10" s="9"/>
      <c r="Z10" s="9"/>
      <c r="AA10" s="9"/>
      <c r="AC10" s="2">
        <f>AD10*$AC$8</f>
        <v>8</v>
      </c>
      <c r="AD10" s="2">
        <v>1</v>
      </c>
      <c r="AE10" s="2">
        <f>AD10/$AE$8</f>
        <v>0.05</v>
      </c>
    </row>
    <row r="11" spans="1:31">
      <c r="B11" s="2"/>
      <c r="C11" s="2" t="s">
        <v>15</v>
      </c>
      <c r="D11" s="2" t="s">
        <v>22</v>
      </c>
      <c r="E11" s="9" t="s">
        <v>48</v>
      </c>
      <c r="F11" s="9" t="s">
        <v>48</v>
      </c>
      <c r="G11" s="9" t="s">
        <v>48</v>
      </c>
      <c r="H11" s="9" t="s">
        <v>48</v>
      </c>
      <c r="I11" s="9" t="s">
        <v>48</v>
      </c>
      <c r="J11" s="9" t="s">
        <v>48</v>
      </c>
      <c r="K11" s="9" t="s">
        <v>48</v>
      </c>
      <c r="L11" s="9" t="s">
        <v>49</v>
      </c>
      <c r="M11" s="9" t="s">
        <v>50</v>
      </c>
      <c r="N11" s="9" t="s">
        <v>48</v>
      </c>
      <c r="O11" s="9" t="s">
        <v>51</v>
      </c>
      <c r="P11" s="9" t="s">
        <v>48</v>
      </c>
      <c r="Q11" s="9" t="s">
        <v>48</v>
      </c>
      <c r="R11" s="9" t="s">
        <v>48</v>
      </c>
      <c r="S11" s="9" t="s">
        <v>52</v>
      </c>
      <c r="T11" s="9" t="s">
        <v>48</v>
      </c>
      <c r="U11" s="9" t="s">
        <v>48</v>
      </c>
      <c r="V11" s="9" t="s">
        <v>48</v>
      </c>
      <c r="W11" s="9" t="s">
        <v>48</v>
      </c>
      <c r="X11" s="9" t="s">
        <v>48</v>
      </c>
      <c r="Y11" s="9" t="s">
        <v>48</v>
      </c>
      <c r="Z11" s="9" t="s">
        <v>48</v>
      </c>
      <c r="AA11" s="9" t="s">
        <v>48</v>
      </c>
      <c r="AC11" s="2">
        <f t="shared" ref="AC11:AC13" si="0">AD11*$AC$8</f>
        <v>40</v>
      </c>
      <c r="AD11" s="2">
        <v>5</v>
      </c>
      <c r="AE11" s="2">
        <f>AD11/$AE$8</f>
        <v>0.25</v>
      </c>
    </row>
    <row r="12" spans="1:31">
      <c r="B12" s="2"/>
      <c r="C12" s="2" t="s">
        <v>12</v>
      </c>
      <c r="D12" s="2" t="s">
        <v>23</v>
      </c>
      <c r="E12" s="9">
        <v>0.75</v>
      </c>
      <c r="F12" s="9">
        <v>0.75</v>
      </c>
      <c r="G12" s="9">
        <v>0.75</v>
      </c>
      <c r="H12" s="9">
        <v>0.25</v>
      </c>
      <c r="I12" s="9">
        <v>0.25</v>
      </c>
      <c r="J12" s="9"/>
      <c r="K12" s="9"/>
      <c r="L12" s="9"/>
      <c r="M12" s="9"/>
      <c r="N12" s="9"/>
      <c r="O12" s="9"/>
      <c r="P12" s="9"/>
      <c r="Q12" s="9"/>
      <c r="R12" s="9"/>
      <c r="S12" s="9"/>
      <c r="T12" s="9"/>
      <c r="U12" s="9"/>
      <c r="V12" s="9"/>
      <c r="W12" s="9"/>
      <c r="X12" s="9"/>
      <c r="Y12" s="9"/>
      <c r="Z12" s="9"/>
      <c r="AA12" s="9"/>
      <c r="AC12" s="2">
        <f t="shared" si="0"/>
        <v>80</v>
      </c>
      <c r="AD12" s="2">
        <v>10</v>
      </c>
      <c r="AE12" s="2">
        <f>AD12/$AE$8</f>
        <v>0.5</v>
      </c>
    </row>
    <row r="13" spans="1:31">
      <c r="B13" s="2"/>
      <c r="C13" s="2" t="s">
        <v>13</v>
      </c>
      <c r="D13" s="2" t="s">
        <v>23</v>
      </c>
      <c r="E13" s="9"/>
      <c r="F13" s="9"/>
      <c r="G13" s="9">
        <v>0.5</v>
      </c>
      <c r="H13" s="9">
        <v>1</v>
      </c>
      <c r="I13" s="9">
        <v>1</v>
      </c>
      <c r="J13" s="9">
        <v>1</v>
      </c>
      <c r="K13" s="9">
        <v>1</v>
      </c>
      <c r="L13" s="9">
        <v>1</v>
      </c>
      <c r="M13" s="9">
        <v>1</v>
      </c>
      <c r="N13" s="9">
        <v>1</v>
      </c>
      <c r="O13" s="9">
        <v>1</v>
      </c>
      <c r="P13" s="9">
        <v>1</v>
      </c>
      <c r="Q13" s="9">
        <v>1</v>
      </c>
      <c r="R13" s="9">
        <v>1</v>
      </c>
      <c r="S13" s="9">
        <v>1</v>
      </c>
      <c r="T13" s="9">
        <v>1</v>
      </c>
      <c r="U13" s="9">
        <v>1</v>
      </c>
      <c r="V13" s="9">
        <v>1</v>
      </c>
      <c r="W13" s="9">
        <v>1</v>
      </c>
      <c r="X13" s="9">
        <v>1</v>
      </c>
      <c r="Y13" s="9">
        <v>1</v>
      </c>
      <c r="Z13" s="9">
        <v>1</v>
      </c>
      <c r="AA13" s="9">
        <v>1</v>
      </c>
      <c r="AC13" s="2">
        <f t="shared" si="0"/>
        <v>160</v>
      </c>
      <c r="AD13" s="2">
        <v>20</v>
      </c>
      <c r="AE13" s="2">
        <f>AD13/$AE$8</f>
        <v>1</v>
      </c>
    </row>
    <row r="14" spans="1:31">
      <c r="B14" s="2" t="s">
        <v>20</v>
      </c>
      <c r="C14" s="2" t="s">
        <v>14</v>
      </c>
      <c r="D14" s="2" t="s">
        <v>24</v>
      </c>
      <c r="E14" s="9" t="s">
        <v>48</v>
      </c>
      <c r="F14" s="9" t="s">
        <v>48</v>
      </c>
      <c r="G14" s="9" t="s">
        <v>62</v>
      </c>
      <c r="H14" s="9" t="s">
        <v>48</v>
      </c>
      <c r="I14" s="9" t="s">
        <v>48</v>
      </c>
      <c r="J14" s="9" t="s">
        <v>48</v>
      </c>
      <c r="K14" s="9" t="s">
        <v>48</v>
      </c>
      <c r="L14" s="9" t="s">
        <v>48</v>
      </c>
      <c r="M14" s="9" t="s">
        <v>48</v>
      </c>
      <c r="N14" s="9" t="s">
        <v>48</v>
      </c>
      <c r="O14" s="9" t="s">
        <v>48</v>
      </c>
      <c r="P14" s="9" t="s">
        <v>48</v>
      </c>
      <c r="Q14" s="9" t="s">
        <v>63</v>
      </c>
      <c r="R14" s="9" t="s">
        <v>48</v>
      </c>
      <c r="S14" s="9" t="s">
        <v>64</v>
      </c>
      <c r="T14" s="9" t="s">
        <v>48</v>
      </c>
      <c r="U14" s="9" t="s">
        <v>48</v>
      </c>
      <c r="V14" s="9" t="s">
        <v>48</v>
      </c>
      <c r="W14" s="9" t="s">
        <v>48</v>
      </c>
      <c r="X14" s="9" t="s">
        <v>48</v>
      </c>
      <c r="Y14" s="9" t="s">
        <v>48</v>
      </c>
      <c r="Z14" s="9" t="s">
        <v>48</v>
      </c>
      <c r="AA14" s="9" t="s">
        <v>48</v>
      </c>
    </row>
    <row r="15" spans="1:31">
      <c r="B15" s="2"/>
      <c r="C15" s="2" t="s">
        <v>17</v>
      </c>
      <c r="D15" s="2" t="s">
        <v>24</v>
      </c>
      <c r="E15" s="9"/>
      <c r="F15" s="9"/>
      <c r="G15" s="9">
        <v>0.5</v>
      </c>
      <c r="H15" s="9">
        <v>0.5</v>
      </c>
      <c r="I15" s="9">
        <v>0.25</v>
      </c>
      <c r="J15" s="9"/>
      <c r="K15" s="9"/>
      <c r="L15" s="9"/>
      <c r="M15" s="9"/>
      <c r="N15" s="9"/>
      <c r="O15" s="9"/>
      <c r="P15" s="9"/>
      <c r="Q15" s="9"/>
      <c r="R15" s="9"/>
      <c r="S15" s="9"/>
      <c r="T15" s="9"/>
      <c r="U15" s="9"/>
      <c r="V15" s="9"/>
      <c r="W15" s="9"/>
      <c r="X15" s="9"/>
      <c r="Y15" s="9"/>
      <c r="Z15" s="9"/>
      <c r="AA15" s="9"/>
    </row>
    <row r="16" spans="1:31">
      <c r="B16" s="2"/>
      <c r="C16" s="2" t="s">
        <v>19</v>
      </c>
      <c r="D16" s="2" t="s">
        <v>23</v>
      </c>
      <c r="E16" s="9"/>
      <c r="F16" s="9"/>
      <c r="G16" s="9"/>
      <c r="H16" s="9">
        <v>0.5</v>
      </c>
      <c r="I16" s="9">
        <v>0.5</v>
      </c>
      <c r="J16" s="9"/>
      <c r="K16" s="9"/>
      <c r="L16" s="9"/>
      <c r="M16" s="9"/>
      <c r="N16" s="9"/>
      <c r="O16" s="9"/>
      <c r="P16" s="9"/>
      <c r="Q16" s="9"/>
      <c r="R16" s="9"/>
      <c r="S16" s="9"/>
      <c r="T16" s="9"/>
      <c r="U16" s="9"/>
      <c r="V16" s="9"/>
      <c r="W16" s="9"/>
      <c r="X16" s="9"/>
      <c r="Y16" s="9"/>
      <c r="Z16" s="9"/>
      <c r="AA16" s="9"/>
    </row>
    <row r="17" spans="2:27">
      <c r="B17" s="2"/>
      <c r="C17" s="2" t="s">
        <v>18</v>
      </c>
      <c r="D17" s="2" t="s">
        <v>23</v>
      </c>
      <c r="E17" s="9"/>
      <c r="F17" s="9"/>
      <c r="G17" s="9"/>
      <c r="H17" s="9">
        <v>0.5</v>
      </c>
      <c r="I17" s="9">
        <v>0.5</v>
      </c>
      <c r="J17" s="9"/>
      <c r="K17" s="9"/>
      <c r="L17" s="9"/>
      <c r="M17" s="9"/>
      <c r="N17" s="9"/>
      <c r="O17" s="9"/>
      <c r="P17" s="9"/>
      <c r="Q17" s="9"/>
      <c r="R17" s="9"/>
      <c r="S17" s="9"/>
      <c r="T17" s="9"/>
      <c r="U17" s="9"/>
      <c r="V17" s="9"/>
      <c r="W17" s="9"/>
      <c r="X17" s="9"/>
      <c r="Y17" s="9"/>
      <c r="Z17" s="9"/>
      <c r="AA17" s="9"/>
    </row>
    <row r="18" spans="2:27">
      <c r="B18" s="2" t="s">
        <v>21</v>
      </c>
      <c r="C18" s="2" t="s">
        <v>14</v>
      </c>
      <c r="D18" s="2" t="s">
        <v>24</v>
      </c>
      <c r="E18" s="9"/>
      <c r="F18" s="9"/>
      <c r="G18" s="9"/>
      <c r="H18" s="9">
        <v>0.25</v>
      </c>
      <c r="I18" s="9">
        <v>0.25</v>
      </c>
      <c r="J18" s="9"/>
      <c r="K18" s="9"/>
      <c r="L18" s="9"/>
      <c r="M18" s="9"/>
      <c r="N18" s="9"/>
      <c r="O18" s="9"/>
      <c r="P18" s="9"/>
      <c r="Q18" s="9"/>
      <c r="R18" s="9"/>
      <c r="S18" s="9"/>
      <c r="T18" s="9"/>
      <c r="U18" s="9"/>
      <c r="V18" s="9"/>
      <c r="W18" s="9"/>
      <c r="X18" s="9"/>
      <c r="Y18" s="9"/>
      <c r="Z18" s="9"/>
      <c r="AA18" s="9"/>
    </row>
    <row r="19" spans="2:27">
      <c r="B19" s="2"/>
      <c r="C19" s="2" t="s">
        <v>16</v>
      </c>
      <c r="D19" s="2" t="s">
        <v>24</v>
      </c>
      <c r="E19" s="9"/>
      <c r="F19" s="9"/>
      <c r="G19" s="9"/>
      <c r="H19" s="9"/>
      <c r="I19" s="9">
        <v>0.75</v>
      </c>
      <c r="J19" s="9">
        <v>0.75</v>
      </c>
      <c r="K19" s="9">
        <v>0.5</v>
      </c>
      <c r="L19" s="9">
        <v>0.25</v>
      </c>
      <c r="M19" s="9">
        <v>0.25</v>
      </c>
      <c r="N19" s="9">
        <v>0.25</v>
      </c>
      <c r="O19" s="9">
        <v>0.25</v>
      </c>
      <c r="P19" s="9">
        <v>0.25</v>
      </c>
      <c r="Q19" s="9">
        <v>0.25</v>
      </c>
      <c r="R19" s="9">
        <v>0.25</v>
      </c>
      <c r="S19" s="9">
        <v>0.25</v>
      </c>
      <c r="T19" s="9">
        <v>0.25</v>
      </c>
      <c r="U19" s="9">
        <v>0.25</v>
      </c>
      <c r="V19" s="9">
        <v>0.25</v>
      </c>
      <c r="W19" s="9">
        <v>0.25</v>
      </c>
      <c r="X19" s="9">
        <v>0.25</v>
      </c>
      <c r="Y19" s="9">
        <v>0.25</v>
      </c>
      <c r="Z19" s="9">
        <v>0.25</v>
      </c>
      <c r="AA19" s="9">
        <v>0.25</v>
      </c>
    </row>
    <row r="20" spans="2:27">
      <c r="B20" s="2"/>
      <c r="C20" s="2" t="s">
        <v>19</v>
      </c>
      <c r="D20" s="2" t="s">
        <v>23</v>
      </c>
      <c r="E20" s="9"/>
      <c r="F20" s="9"/>
      <c r="G20" s="9"/>
      <c r="H20" s="9"/>
      <c r="I20" s="9"/>
      <c r="J20" s="9">
        <v>1</v>
      </c>
      <c r="K20" s="9">
        <v>1</v>
      </c>
      <c r="L20" s="9">
        <v>0.5</v>
      </c>
      <c r="M20" s="9"/>
      <c r="N20" s="9"/>
      <c r="O20" s="9"/>
      <c r="P20" s="9"/>
      <c r="Q20" s="9"/>
      <c r="R20" s="9"/>
      <c r="S20" s="9"/>
      <c r="T20" s="9"/>
      <c r="U20" s="9"/>
      <c r="V20" s="9"/>
      <c r="W20" s="9"/>
      <c r="X20" s="9"/>
      <c r="Y20" s="9"/>
      <c r="Z20" s="9"/>
      <c r="AA20" s="9"/>
    </row>
    <row r="21" spans="2:27">
      <c r="B21" s="2"/>
      <c r="C21" s="2" t="s">
        <v>18</v>
      </c>
      <c r="D21" s="2" t="s">
        <v>23</v>
      </c>
      <c r="E21" s="9"/>
      <c r="F21" s="9"/>
      <c r="G21" s="9"/>
      <c r="H21" s="9"/>
      <c r="I21" s="9"/>
      <c r="J21" s="9"/>
      <c r="K21" s="9"/>
      <c r="L21" s="9">
        <v>1</v>
      </c>
      <c r="M21" s="9">
        <v>1</v>
      </c>
      <c r="N21" s="9">
        <v>0.5</v>
      </c>
      <c r="O21" s="9">
        <v>0.5</v>
      </c>
      <c r="P21" s="9">
        <v>0.25</v>
      </c>
      <c r="Q21" s="9">
        <v>0.25</v>
      </c>
      <c r="R21" s="9">
        <v>0.25</v>
      </c>
      <c r="S21" s="9">
        <v>0.25</v>
      </c>
      <c r="T21" s="9">
        <v>0.25</v>
      </c>
      <c r="U21" s="9">
        <v>0.25</v>
      </c>
      <c r="V21" s="9">
        <v>0.25</v>
      </c>
      <c r="W21" s="9">
        <v>0.25</v>
      </c>
      <c r="X21" s="9">
        <v>0.25</v>
      </c>
      <c r="Y21" s="9">
        <v>0.25</v>
      </c>
      <c r="Z21" s="9">
        <v>0.25</v>
      </c>
      <c r="AA21" s="9">
        <v>0.25</v>
      </c>
    </row>
    <row r="23" spans="2:27">
      <c r="D23" s="8" t="s">
        <v>23</v>
      </c>
      <c r="E23" s="2">
        <f t="shared" ref="E23:AA23" si="1">SUMIF($D$10:$D$21,"=Dev-Infra",E10:E21)</f>
        <v>1</v>
      </c>
      <c r="F23" s="2">
        <f t="shared" si="1"/>
        <v>1</v>
      </c>
      <c r="G23" s="2">
        <f t="shared" si="1"/>
        <v>1.5</v>
      </c>
      <c r="H23" s="2">
        <f t="shared" si="1"/>
        <v>2.5</v>
      </c>
      <c r="I23" s="2">
        <f t="shared" si="1"/>
        <v>2.5</v>
      </c>
      <c r="J23" s="2">
        <f t="shared" si="1"/>
        <v>2</v>
      </c>
      <c r="K23" s="2">
        <f t="shared" si="1"/>
        <v>2</v>
      </c>
      <c r="L23" s="2">
        <f t="shared" si="1"/>
        <v>2.5</v>
      </c>
      <c r="M23" s="2">
        <f t="shared" si="1"/>
        <v>2</v>
      </c>
      <c r="N23" s="2">
        <f t="shared" si="1"/>
        <v>1.5</v>
      </c>
      <c r="O23" s="2">
        <f t="shared" si="1"/>
        <v>1.5</v>
      </c>
      <c r="P23" s="2">
        <f t="shared" si="1"/>
        <v>1.25</v>
      </c>
      <c r="Q23" s="2">
        <f t="shared" si="1"/>
        <v>1.25</v>
      </c>
      <c r="R23" s="2">
        <f t="shared" si="1"/>
        <v>1.25</v>
      </c>
      <c r="S23" s="2">
        <f t="shared" si="1"/>
        <v>1.25</v>
      </c>
      <c r="T23" s="2">
        <f t="shared" si="1"/>
        <v>1.25</v>
      </c>
      <c r="U23" s="2">
        <f t="shared" si="1"/>
        <v>1.25</v>
      </c>
      <c r="V23" s="2">
        <f t="shared" si="1"/>
        <v>1.25</v>
      </c>
      <c r="W23" s="2">
        <f t="shared" si="1"/>
        <v>1.25</v>
      </c>
      <c r="X23" s="2">
        <f t="shared" si="1"/>
        <v>1.25</v>
      </c>
      <c r="Y23" s="2">
        <f t="shared" si="1"/>
        <v>1.25</v>
      </c>
      <c r="Z23" s="2">
        <f t="shared" si="1"/>
        <v>1.25</v>
      </c>
      <c r="AA23" s="2">
        <f t="shared" si="1"/>
        <v>1.25</v>
      </c>
    </row>
    <row r="24" spans="2:27" ht="12.4" thickBot="1">
      <c r="D24" s="12" t="s">
        <v>24</v>
      </c>
      <c r="E24" s="13">
        <f t="shared" ref="E24:AA24" si="2">SUMIF($D$10:$D$21,"=SSO",E11:E22)</f>
        <v>0</v>
      </c>
      <c r="F24" s="13">
        <f t="shared" si="2"/>
        <v>0</v>
      </c>
      <c r="G24" s="13">
        <f t="shared" si="2"/>
        <v>0.5</v>
      </c>
      <c r="H24" s="13">
        <f t="shared" si="2"/>
        <v>1</v>
      </c>
      <c r="I24" s="13">
        <f t="shared" si="2"/>
        <v>1.5</v>
      </c>
      <c r="J24" s="13">
        <f t="shared" si="2"/>
        <v>1.75</v>
      </c>
      <c r="K24" s="13">
        <f t="shared" si="2"/>
        <v>1.5</v>
      </c>
      <c r="L24" s="13">
        <f t="shared" si="2"/>
        <v>0.75</v>
      </c>
      <c r="M24" s="13">
        <f t="shared" si="2"/>
        <v>0.25</v>
      </c>
      <c r="N24" s="13">
        <f t="shared" si="2"/>
        <v>0.25</v>
      </c>
      <c r="O24" s="13">
        <f t="shared" si="2"/>
        <v>0.25</v>
      </c>
      <c r="P24" s="13">
        <f t="shared" si="2"/>
        <v>0.25</v>
      </c>
      <c r="Q24" s="13">
        <f t="shared" si="2"/>
        <v>0.25</v>
      </c>
      <c r="R24" s="13">
        <f t="shared" si="2"/>
        <v>0.25</v>
      </c>
      <c r="S24" s="13">
        <f t="shared" si="2"/>
        <v>0.25</v>
      </c>
      <c r="T24" s="13">
        <f t="shared" si="2"/>
        <v>0.25</v>
      </c>
      <c r="U24" s="13">
        <f t="shared" si="2"/>
        <v>0.25</v>
      </c>
      <c r="V24" s="13">
        <f t="shared" si="2"/>
        <v>0.25</v>
      </c>
      <c r="W24" s="13">
        <f t="shared" si="2"/>
        <v>0.25</v>
      </c>
      <c r="X24" s="13">
        <f t="shared" si="2"/>
        <v>0.25</v>
      </c>
      <c r="Y24" s="13">
        <f t="shared" si="2"/>
        <v>0.25</v>
      </c>
      <c r="Z24" s="13">
        <f t="shared" si="2"/>
        <v>0.25</v>
      </c>
      <c r="AA24" s="13">
        <f t="shared" si="2"/>
        <v>0.25</v>
      </c>
    </row>
    <row r="25" spans="2:27" ht="12.4" thickTop="1">
      <c r="D25" s="14" t="s">
        <v>53</v>
      </c>
      <c r="E25" s="15">
        <f>SUM(E23:E24)</f>
        <v>1</v>
      </c>
      <c r="F25" s="15">
        <f t="shared" ref="F25:AA25" si="3">SUM(F23:F24)</f>
        <v>1</v>
      </c>
      <c r="G25" s="15">
        <f t="shared" si="3"/>
        <v>2</v>
      </c>
      <c r="H25" s="15">
        <f t="shared" si="3"/>
        <v>3.5</v>
      </c>
      <c r="I25" s="15">
        <f t="shared" si="3"/>
        <v>4</v>
      </c>
      <c r="J25" s="15">
        <f t="shared" si="3"/>
        <v>3.75</v>
      </c>
      <c r="K25" s="15">
        <f t="shared" si="3"/>
        <v>3.5</v>
      </c>
      <c r="L25" s="15">
        <f t="shared" si="3"/>
        <v>3.25</v>
      </c>
      <c r="M25" s="15">
        <f t="shared" si="3"/>
        <v>2.25</v>
      </c>
      <c r="N25" s="15">
        <f t="shared" si="3"/>
        <v>1.75</v>
      </c>
      <c r="O25" s="15">
        <f t="shared" si="3"/>
        <v>1.75</v>
      </c>
      <c r="P25" s="15">
        <f t="shared" si="3"/>
        <v>1.5</v>
      </c>
      <c r="Q25" s="15">
        <f t="shared" si="3"/>
        <v>1.5</v>
      </c>
      <c r="R25" s="15">
        <f t="shared" si="3"/>
        <v>1.5</v>
      </c>
      <c r="S25" s="15">
        <f t="shared" si="3"/>
        <v>1.5</v>
      </c>
      <c r="T25" s="15">
        <f t="shared" si="3"/>
        <v>1.5</v>
      </c>
      <c r="U25" s="15">
        <f t="shared" si="3"/>
        <v>1.5</v>
      </c>
      <c r="V25" s="15">
        <f t="shared" si="3"/>
        <v>1.5</v>
      </c>
      <c r="W25" s="15">
        <f t="shared" si="3"/>
        <v>1.5</v>
      </c>
      <c r="X25" s="15">
        <f t="shared" si="3"/>
        <v>1.5</v>
      </c>
      <c r="Y25" s="15">
        <f t="shared" si="3"/>
        <v>1.5</v>
      </c>
      <c r="Z25" s="15">
        <f t="shared" si="3"/>
        <v>1.5</v>
      </c>
      <c r="AA25" s="15">
        <f t="shared" si="3"/>
        <v>1.5</v>
      </c>
    </row>
  </sheetData>
  <mergeCells count="3">
    <mergeCell ref="E2:I2"/>
    <mergeCell ref="J2:U2"/>
    <mergeCell ref="V2:AA2"/>
  </mergeCells>
  <phoneticPr fontId="1"/>
  <pageMargins left="0.25" right="0.25" top="0.75" bottom="0.75" header="0.3" footer="0.3"/>
  <pageSetup paperSize="9" scale="88"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WBS</vt:lpstr>
      <vt:lpstr>Tasklist</vt:lpstr>
      <vt:lpstr>Schedule</vt:lpstr>
      <vt:lpstr>Tasklist!Print_Area</vt:lpstr>
      <vt:lpstr>Status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dkawakubo</dc:creator>
  <cp:lastModifiedBy>dkawakubo</cp:lastModifiedBy>
  <cp:lastPrinted>2016-08-25T04:46:58Z</cp:lastPrinted>
  <dcterms:created xsi:type="dcterms:W3CDTF">2016-08-23T02:04:58Z</dcterms:created>
  <dcterms:modified xsi:type="dcterms:W3CDTF">2016-10-31T07:34:40Z</dcterms:modified>
</cp:coreProperties>
</file>